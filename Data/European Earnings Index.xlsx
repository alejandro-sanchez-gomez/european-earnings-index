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Projects\european-average-earnings-index\Data\"/>
    </mc:Choice>
  </mc:AlternateContent>
  <xr:revisionPtr revIDLastSave="0" documentId="13_ncr:1_{FBA0D424-E945-4784-892A-B299F2E865C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4" i="1"/>
  <c r="G2" i="1"/>
  <c r="G23" i="1"/>
  <c r="G65" i="1"/>
  <c r="G86" i="1"/>
  <c r="G107" i="1"/>
  <c r="G128" i="1"/>
  <c r="G149" i="1"/>
  <c r="G170" i="1"/>
  <c r="G191" i="1"/>
  <c r="G212" i="1"/>
  <c r="G233" i="1"/>
  <c r="G254" i="1"/>
  <c r="G275" i="1"/>
  <c r="G296" i="1"/>
  <c r="G317" i="1"/>
  <c r="G338" i="1"/>
  <c r="G359" i="1"/>
  <c r="G380" i="1"/>
  <c r="G401" i="1"/>
  <c r="G422" i="1"/>
  <c r="G443" i="1"/>
  <c r="G464" i="1"/>
  <c r="G485" i="1"/>
  <c r="G506" i="1"/>
  <c r="G527" i="1"/>
  <c r="G548" i="1"/>
  <c r="H44" i="1"/>
  <c r="H45" i="1"/>
  <c r="H46" i="1"/>
  <c r="H47" i="1"/>
  <c r="H48" i="1"/>
  <c r="H49" i="1"/>
  <c r="H50" i="1"/>
  <c r="H51" i="1"/>
  <c r="H5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D2" i="1"/>
  <c r="F2" i="1" s="1"/>
  <c r="D3" i="1"/>
  <c r="F3" i="1" s="1"/>
  <c r="D4" i="1"/>
  <c r="F4" i="1" s="1"/>
  <c r="D5" i="1"/>
  <c r="F5" i="1" s="1"/>
  <c r="D6" i="1"/>
  <c r="F6" i="1" s="1"/>
  <c r="G6" i="1" s="1"/>
  <c r="D7" i="1"/>
  <c r="F7" i="1" s="1"/>
  <c r="D8" i="1"/>
  <c r="F8" i="1" s="1"/>
  <c r="D9" i="1"/>
  <c r="F9" i="1" s="1"/>
  <c r="G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G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G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G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G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G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G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G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G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G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G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G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G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G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G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G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G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G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G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G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G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G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G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G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G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G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G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G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G241" i="1" s="1"/>
  <c r="D242" i="1"/>
  <c r="F242" i="1" s="1"/>
  <c r="D243" i="1"/>
  <c r="F243" i="1" s="1"/>
  <c r="G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G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G257" i="1" s="1"/>
  <c r="D258" i="1"/>
  <c r="F258" i="1" s="1"/>
  <c r="D259" i="1"/>
  <c r="F259" i="1" s="1"/>
  <c r="G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G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G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G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G289" i="1" s="1"/>
  <c r="D290" i="1"/>
  <c r="F290" i="1" s="1"/>
  <c r="D291" i="1"/>
  <c r="F291" i="1" s="1"/>
  <c r="G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G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G305" i="1" s="1"/>
  <c r="D306" i="1"/>
  <c r="F306" i="1" s="1"/>
  <c r="D307" i="1"/>
  <c r="F307" i="1" s="1"/>
  <c r="G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G313" i="1" s="1"/>
  <c r="D314" i="1"/>
  <c r="F314" i="1" s="1"/>
  <c r="D315" i="1"/>
  <c r="F315" i="1" s="1"/>
  <c r="G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G321" i="1" s="1"/>
  <c r="D322" i="1"/>
  <c r="F322" i="1" s="1"/>
  <c r="D323" i="1"/>
  <c r="F323" i="1" s="1"/>
  <c r="G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G329" i="1" s="1"/>
  <c r="D330" i="1"/>
  <c r="F330" i="1" s="1"/>
  <c r="D331" i="1"/>
  <c r="F331" i="1" s="1"/>
  <c r="G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G337" i="1" s="1"/>
  <c r="D338" i="1"/>
  <c r="F338" i="1" s="1"/>
  <c r="D339" i="1"/>
  <c r="F339" i="1" s="1"/>
  <c r="G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G345" i="1" s="1"/>
  <c r="D346" i="1"/>
  <c r="F346" i="1" s="1"/>
  <c r="D347" i="1"/>
  <c r="F347" i="1" s="1"/>
  <c r="G347" i="1" s="1"/>
  <c r="D348" i="1"/>
  <c r="F348" i="1" s="1"/>
  <c r="D349" i="1"/>
  <c r="F349" i="1" s="1"/>
  <c r="D350" i="1"/>
  <c r="F350" i="1" s="1"/>
  <c r="G350" i="1" s="1"/>
  <c r="D351" i="1"/>
  <c r="F351" i="1" s="1"/>
  <c r="D352" i="1"/>
  <c r="F352" i="1" s="1"/>
  <c r="D353" i="1"/>
  <c r="F353" i="1" s="1"/>
  <c r="G353" i="1" s="1"/>
  <c r="D354" i="1"/>
  <c r="F354" i="1" s="1"/>
  <c r="D355" i="1"/>
  <c r="F355" i="1" s="1"/>
  <c r="G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G361" i="1" s="1"/>
  <c r="D362" i="1"/>
  <c r="F362" i="1" s="1"/>
  <c r="D363" i="1"/>
  <c r="F363" i="1" s="1"/>
  <c r="G363" i="1" s="1"/>
  <c r="D364" i="1"/>
  <c r="F364" i="1" s="1"/>
  <c r="D365" i="1"/>
  <c r="F365" i="1" s="1"/>
  <c r="D366" i="1"/>
  <c r="F366" i="1" s="1"/>
  <c r="G366" i="1" s="1"/>
  <c r="D367" i="1"/>
  <c r="F367" i="1" s="1"/>
  <c r="D368" i="1"/>
  <c r="F368" i="1" s="1"/>
  <c r="D369" i="1"/>
  <c r="F369" i="1" s="1"/>
  <c r="G369" i="1" s="1"/>
  <c r="D370" i="1"/>
  <c r="F370" i="1" s="1"/>
  <c r="D371" i="1"/>
  <c r="F371" i="1" s="1"/>
  <c r="G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G377" i="1" s="1"/>
  <c r="D378" i="1"/>
  <c r="F378" i="1" s="1"/>
  <c r="D379" i="1"/>
  <c r="F379" i="1" s="1"/>
  <c r="G379" i="1" s="1"/>
  <c r="D380" i="1"/>
  <c r="F380" i="1" s="1"/>
  <c r="D381" i="1"/>
  <c r="F381" i="1" s="1"/>
  <c r="D382" i="1"/>
  <c r="F382" i="1" s="1"/>
  <c r="G382" i="1" s="1"/>
  <c r="D383" i="1"/>
  <c r="F383" i="1" s="1"/>
  <c r="D384" i="1"/>
  <c r="F384" i="1" s="1"/>
  <c r="D385" i="1"/>
  <c r="F385" i="1" s="1"/>
  <c r="G385" i="1" s="1"/>
  <c r="D386" i="1"/>
  <c r="F386" i="1" s="1"/>
  <c r="D387" i="1"/>
  <c r="F387" i="1" s="1"/>
  <c r="G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G393" i="1" s="1"/>
  <c r="D394" i="1"/>
  <c r="F394" i="1" s="1"/>
  <c r="D395" i="1"/>
  <c r="F395" i="1" s="1"/>
  <c r="G395" i="1" s="1"/>
  <c r="D396" i="1"/>
  <c r="F396" i="1" s="1"/>
  <c r="D397" i="1"/>
  <c r="F397" i="1" s="1"/>
  <c r="D398" i="1"/>
  <c r="F398" i="1" s="1"/>
  <c r="G398" i="1" s="1"/>
  <c r="D399" i="1"/>
  <c r="F399" i="1" s="1"/>
  <c r="D400" i="1"/>
  <c r="F400" i="1" s="1"/>
  <c r="D401" i="1"/>
  <c r="F401" i="1" s="1"/>
  <c r="D402" i="1"/>
  <c r="F402" i="1" s="1"/>
  <c r="D403" i="1"/>
  <c r="F403" i="1" s="1"/>
  <c r="G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G409" i="1" s="1"/>
  <c r="D410" i="1"/>
  <c r="F410" i="1" s="1"/>
  <c r="D411" i="1"/>
  <c r="F411" i="1" s="1"/>
  <c r="G411" i="1" s="1"/>
  <c r="D412" i="1"/>
  <c r="F412" i="1" s="1"/>
  <c r="D413" i="1"/>
  <c r="F413" i="1" s="1"/>
  <c r="D414" i="1"/>
  <c r="F414" i="1" s="1"/>
  <c r="G414" i="1" s="1"/>
  <c r="D415" i="1"/>
  <c r="F415" i="1" s="1"/>
  <c r="D416" i="1"/>
  <c r="F416" i="1" s="1"/>
  <c r="D417" i="1"/>
  <c r="F417" i="1" s="1"/>
  <c r="G417" i="1" s="1"/>
  <c r="D418" i="1"/>
  <c r="F418" i="1" s="1"/>
  <c r="D419" i="1"/>
  <c r="F419" i="1" s="1"/>
  <c r="G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G425" i="1" s="1"/>
  <c r="D426" i="1"/>
  <c r="F426" i="1" s="1"/>
  <c r="D427" i="1"/>
  <c r="F427" i="1" s="1"/>
  <c r="G427" i="1" s="1"/>
  <c r="D428" i="1"/>
  <c r="F428" i="1" s="1"/>
  <c r="D429" i="1"/>
  <c r="F429" i="1" s="1"/>
  <c r="D430" i="1"/>
  <c r="F430" i="1" s="1"/>
  <c r="G430" i="1" s="1"/>
  <c r="D431" i="1"/>
  <c r="F431" i="1" s="1"/>
  <c r="D432" i="1"/>
  <c r="F432" i="1" s="1"/>
  <c r="G432" i="1" s="1"/>
  <c r="D433" i="1"/>
  <c r="F433" i="1" s="1"/>
  <c r="G433" i="1" s="1"/>
  <c r="D434" i="1"/>
  <c r="F434" i="1" s="1"/>
  <c r="D435" i="1"/>
  <c r="F435" i="1" s="1"/>
  <c r="G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G441" i="1" s="1"/>
  <c r="D442" i="1"/>
  <c r="F442" i="1" s="1"/>
  <c r="D443" i="1"/>
  <c r="F443" i="1" s="1"/>
  <c r="D444" i="1"/>
  <c r="F444" i="1" s="1"/>
  <c r="D445" i="1"/>
  <c r="F445" i="1" s="1"/>
  <c r="D446" i="1"/>
  <c r="F446" i="1" s="1"/>
  <c r="G446" i="1" s="1"/>
  <c r="D447" i="1"/>
  <c r="F447" i="1" s="1"/>
  <c r="D448" i="1"/>
  <c r="F448" i="1" s="1"/>
  <c r="G448" i="1" s="1"/>
  <c r="D449" i="1"/>
  <c r="F449" i="1" s="1"/>
  <c r="G449" i="1" s="1"/>
  <c r="D450" i="1"/>
  <c r="F450" i="1" s="1"/>
  <c r="D451" i="1"/>
  <c r="F451" i="1" s="1"/>
  <c r="G451" i="1" s="1"/>
  <c r="D452" i="1"/>
  <c r="F452" i="1" s="1"/>
  <c r="D453" i="1"/>
  <c r="F453" i="1" s="1"/>
  <c r="G453" i="1" s="1"/>
  <c r="D454" i="1"/>
  <c r="F454" i="1" s="1"/>
  <c r="D455" i="1"/>
  <c r="F455" i="1" s="1"/>
  <c r="D456" i="1"/>
  <c r="F456" i="1" s="1"/>
  <c r="D457" i="1"/>
  <c r="F457" i="1" s="1"/>
  <c r="G457" i="1" s="1"/>
  <c r="D458" i="1"/>
  <c r="F458" i="1" s="1"/>
  <c r="D459" i="1"/>
  <c r="F459" i="1" s="1"/>
  <c r="G459" i="1" s="1"/>
  <c r="D460" i="1"/>
  <c r="F460" i="1" s="1"/>
  <c r="D461" i="1"/>
  <c r="F461" i="1" s="1"/>
  <c r="D462" i="1"/>
  <c r="F462" i="1" s="1"/>
  <c r="G462" i="1" s="1"/>
  <c r="D463" i="1"/>
  <c r="F463" i="1" s="1"/>
  <c r="D464" i="1"/>
  <c r="F464" i="1" s="1"/>
  <c r="D465" i="1"/>
  <c r="F465" i="1" s="1"/>
  <c r="G465" i="1" s="1"/>
  <c r="D466" i="1"/>
  <c r="F466" i="1" s="1"/>
  <c r="D467" i="1"/>
  <c r="F467" i="1" s="1"/>
  <c r="G467" i="1" s="1"/>
  <c r="D468" i="1"/>
  <c r="F468" i="1" s="1"/>
  <c r="D469" i="1"/>
  <c r="F469" i="1" s="1"/>
  <c r="G469" i="1" s="1"/>
  <c r="D470" i="1"/>
  <c r="F470" i="1" s="1"/>
  <c r="D471" i="1"/>
  <c r="F471" i="1" s="1"/>
  <c r="D472" i="1"/>
  <c r="F472" i="1" s="1"/>
  <c r="D473" i="1"/>
  <c r="F473" i="1" s="1"/>
  <c r="G473" i="1" s="1"/>
  <c r="D474" i="1"/>
  <c r="F474" i="1" s="1"/>
  <c r="D475" i="1"/>
  <c r="F475" i="1" s="1"/>
  <c r="G475" i="1" s="1"/>
  <c r="D476" i="1"/>
  <c r="F476" i="1" s="1"/>
  <c r="D477" i="1"/>
  <c r="F477" i="1" s="1"/>
  <c r="D478" i="1"/>
  <c r="F478" i="1" s="1"/>
  <c r="G478" i="1" s="1"/>
  <c r="D479" i="1"/>
  <c r="F479" i="1" s="1"/>
  <c r="D480" i="1"/>
  <c r="F480" i="1" s="1"/>
  <c r="G480" i="1" s="1"/>
  <c r="D481" i="1"/>
  <c r="F481" i="1" s="1"/>
  <c r="G481" i="1" s="1"/>
  <c r="D482" i="1"/>
  <c r="F482" i="1" s="1"/>
  <c r="D483" i="1"/>
  <c r="F483" i="1" s="1"/>
  <c r="G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G489" i="1" s="1"/>
  <c r="D490" i="1"/>
  <c r="F490" i="1" s="1"/>
  <c r="D491" i="1"/>
  <c r="F491" i="1" s="1"/>
  <c r="G491" i="1" s="1"/>
  <c r="D492" i="1"/>
  <c r="F492" i="1" s="1"/>
  <c r="D493" i="1"/>
  <c r="F493" i="1" s="1"/>
  <c r="D494" i="1"/>
  <c r="F494" i="1" s="1"/>
  <c r="G494" i="1" s="1"/>
  <c r="D495" i="1"/>
  <c r="F495" i="1" s="1"/>
  <c r="D496" i="1"/>
  <c r="F496" i="1" s="1"/>
  <c r="G496" i="1" s="1"/>
  <c r="D497" i="1"/>
  <c r="F497" i="1" s="1"/>
  <c r="G497" i="1" s="1"/>
  <c r="D498" i="1"/>
  <c r="F498" i="1" s="1"/>
  <c r="D499" i="1"/>
  <c r="F499" i="1" s="1"/>
  <c r="G499" i="1" s="1"/>
  <c r="D500" i="1"/>
  <c r="F500" i="1" s="1"/>
  <c r="D501" i="1"/>
  <c r="F501" i="1" s="1"/>
  <c r="G501" i="1" s="1"/>
  <c r="D502" i="1"/>
  <c r="F502" i="1" s="1"/>
  <c r="D503" i="1"/>
  <c r="F503" i="1" s="1"/>
  <c r="D504" i="1"/>
  <c r="F504" i="1" s="1"/>
  <c r="D505" i="1"/>
  <c r="F505" i="1" s="1"/>
  <c r="G505" i="1" s="1"/>
  <c r="D506" i="1"/>
  <c r="F506" i="1" s="1"/>
  <c r="D507" i="1"/>
  <c r="F507" i="1" s="1"/>
  <c r="G507" i="1" s="1"/>
  <c r="D508" i="1"/>
  <c r="F508" i="1" s="1"/>
  <c r="D509" i="1"/>
  <c r="F509" i="1" s="1"/>
  <c r="D510" i="1"/>
  <c r="F510" i="1" s="1"/>
  <c r="G510" i="1" s="1"/>
  <c r="D511" i="1"/>
  <c r="F511" i="1" s="1"/>
  <c r="D512" i="1"/>
  <c r="F512" i="1" s="1"/>
  <c r="G512" i="1" s="1"/>
  <c r="D513" i="1"/>
  <c r="F513" i="1" s="1"/>
  <c r="G513" i="1" s="1"/>
  <c r="D514" i="1"/>
  <c r="F514" i="1" s="1"/>
  <c r="D515" i="1"/>
  <c r="F515" i="1" s="1"/>
  <c r="G515" i="1" s="1"/>
  <c r="D516" i="1"/>
  <c r="F516" i="1" s="1"/>
  <c r="D517" i="1"/>
  <c r="F517" i="1" s="1"/>
  <c r="G517" i="1" s="1"/>
  <c r="D518" i="1"/>
  <c r="F518" i="1" s="1"/>
  <c r="D519" i="1"/>
  <c r="F519" i="1" s="1"/>
  <c r="D520" i="1"/>
  <c r="F520" i="1" s="1"/>
  <c r="D521" i="1"/>
  <c r="F521" i="1" s="1"/>
  <c r="G521" i="1" s="1"/>
  <c r="D522" i="1"/>
  <c r="F522" i="1" s="1"/>
  <c r="D523" i="1"/>
  <c r="F523" i="1" s="1"/>
  <c r="G523" i="1" s="1"/>
  <c r="D524" i="1"/>
  <c r="F524" i="1" s="1"/>
  <c r="D525" i="1"/>
  <c r="F525" i="1" s="1"/>
  <c r="D526" i="1"/>
  <c r="F526" i="1" s="1"/>
  <c r="G526" i="1" s="1"/>
  <c r="D527" i="1"/>
  <c r="F527" i="1" s="1"/>
  <c r="D528" i="1"/>
  <c r="F528" i="1" s="1"/>
  <c r="G528" i="1" s="1"/>
  <c r="D529" i="1"/>
  <c r="F529" i="1" s="1"/>
  <c r="G529" i="1" s="1"/>
  <c r="D530" i="1"/>
  <c r="F530" i="1" s="1"/>
  <c r="D531" i="1"/>
  <c r="F531" i="1" s="1"/>
  <c r="G531" i="1" s="1"/>
  <c r="D532" i="1"/>
  <c r="F532" i="1" s="1"/>
  <c r="D533" i="1"/>
  <c r="F533" i="1" s="1"/>
  <c r="G533" i="1" s="1"/>
  <c r="D534" i="1"/>
  <c r="F534" i="1" s="1"/>
  <c r="D535" i="1"/>
  <c r="F535" i="1" s="1"/>
  <c r="D536" i="1"/>
  <c r="F536" i="1" s="1"/>
  <c r="D537" i="1"/>
  <c r="F537" i="1" s="1"/>
  <c r="G537" i="1" s="1"/>
  <c r="D538" i="1"/>
  <c r="F538" i="1" s="1"/>
  <c r="D539" i="1"/>
  <c r="F539" i="1" s="1"/>
  <c r="G539" i="1" s="1"/>
  <c r="D540" i="1"/>
  <c r="F540" i="1" s="1"/>
  <c r="D541" i="1"/>
  <c r="F541" i="1" s="1"/>
  <c r="D542" i="1"/>
  <c r="F542" i="1" s="1"/>
  <c r="G542" i="1" s="1"/>
  <c r="D543" i="1"/>
  <c r="F543" i="1" s="1"/>
  <c r="D544" i="1"/>
  <c r="F544" i="1" s="1"/>
  <c r="G544" i="1" s="1"/>
  <c r="D545" i="1"/>
  <c r="F545" i="1" s="1"/>
  <c r="G545" i="1" s="1"/>
  <c r="D546" i="1"/>
  <c r="F546" i="1" s="1"/>
  <c r="D547" i="1"/>
  <c r="F547" i="1" s="1"/>
  <c r="G547" i="1" s="1"/>
  <c r="D548" i="1"/>
  <c r="F548" i="1" s="1"/>
  <c r="D549" i="1"/>
  <c r="F549" i="1" s="1"/>
  <c r="G549" i="1" s="1"/>
  <c r="D550" i="1"/>
  <c r="F550" i="1" s="1"/>
  <c r="D551" i="1"/>
  <c r="F551" i="1" s="1"/>
  <c r="D552" i="1"/>
  <c r="F552" i="1" s="1"/>
  <c r="D553" i="1"/>
  <c r="F553" i="1" s="1"/>
  <c r="G553" i="1" s="1"/>
  <c r="D554" i="1"/>
  <c r="F554" i="1" s="1"/>
  <c r="D555" i="1"/>
  <c r="F555" i="1" s="1"/>
  <c r="G555" i="1" s="1"/>
  <c r="D556" i="1"/>
  <c r="F556" i="1" s="1"/>
  <c r="D557" i="1"/>
  <c r="F557" i="1" s="1"/>
  <c r="D558" i="1"/>
  <c r="F558" i="1" s="1"/>
  <c r="G558" i="1" s="1"/>
  <c r="D559" i="1"/>
  <c r="F559" i="1" s="1"/>
  <c r="D560" i="1"/>
  <c r="F560" i="1" s="1"/>
  <c r="G560" i="1" s="1"/>
  <c r="D561" i="1"/>
  <c r="F561" i="1" s="1"/>
  <c r="G561" i="1" s="1"/>
  <c r="D562" i="1"/>
  <c r="F562" i="1" s="1"/>
  <c r="D563" i="1"/>
  <c r="F563" i="1" s="1"/>
  <c r="G563" i="1" s="1"/>
  <c r="D564" i="1"/>
  <c r="F564" i="1" s="1"/>
  <c r="D565" i="1"/>
  <c r="F565" i="1" s="1"/>
  <c r="G565" i="1" s="1"/>
  <c r="D566" i="1"/>
  <c r="F566" i="1" s="1"/>
  <c r="D567" i="1"/>
  <c r="F567" i="1" s="1"/>
  <c r="D568" i="1"/>
  <c r="F568" i="1" s="1"/>
  <c r="G334" i="1" l="1"/>
  <c r="G318" i="1"/>
  <c r="G302" i="1"/>
  <c r="G286" i="1"/>
  <c r="G270" i="1"/>
  <c r="G238" i="1"/>
  <c r="G222" i="1"/>
  <c r="G206" i="1"/>
  <c r="G190" i="1"/>
  <c r="G174" i="1"/>
  <c r="G299" i="1"/>
  <c r="G283" i="1"/>
  <c r="G267" i="1"/>
  <c r="G251" i="1"/>
  <c r="G235" i="1"/>
  <c r="G219" i="1"/>
  <c r="G203" i="1"/>
  <c r="G187" i="1"/>
  <c r="G171" i="1"/>
  <c r="G155" i="1"/>
  <c r="G139" i="1"/>
  <c r="G123" i="1"/>
  <c r="G91" i="1"/>
  <c r="G75" i="1"/>
  <c r="G59" i="1"/>
  <c r="G43" i="1"/>
  <c r="G437" i="1"/>
  <c r="G421" i="1"/>
  <c r="G405" i="1"/>
  <c r="G389" i="1"/>
  <c r="G373" i="1"/>
  <c r="G357" i="1"/>
  <c r="G341" i="1"/>
  <c r="G325" i="1"/>
  <c r="G309" i="1"/>
  <c r="G293" i="1"/>
  <c r="G277" i="1"/>
  <c r="G261" i="1"/>
  <c r="G245" i="1"/>
  <c r="G229" i="1"/>
  <c r="G568" i="1"/>
  <c r="G552" i="1"/>
  <c r="G536" i="1"/>
  <c r="G520" i="1"/>
  <c r="G504" i="1"/>
  <c r="G488" i="1"/>
  <c r="G472" i="1"/>
  <c r="G456" i="1"/>
  <c r="G440" i="1"/>
  <c r="G424" i="1"/>
  <c r="G408" i="1"/>
  <c r="G213" i="1"/>
  <c r="G197" i="1"/>
  <c r="G181" i="1"/>
  <c r="G165" i="1"/>
  <c r="G133" i="1"/>
  <c r="G117" i="1"/>
  <c r="G101" i="1"/>
  <c r="G85" i="1"/>
  <c r="G69" i="1"/>
  <c r="G53" i="1"/>
  <c r="G37" i="1"/>
  <c r="G21" i="1"/>
  <c r="G5" i="1"/>
  <c r="G416" i="1"/>
  <c r="G400" i="1"/>
  <c r="G384" i="1"/>
  <c r="G367" i="1"/>
  <c r="G158" i="1"/>
  <c r="G142" i="1"/>
  <c r="G126" i="1"/>
  <c r="G110" i="1"/>
  <c r="G94" i="1"/>
  <c r="G78" i="1"/>
  <c r="G62" i="1"/>
  <c r="G46" i="1"/>
  <c r="G30" i="1"/>
  <c r="G14" i="1"/>
  <c r="G28" i="1"/>
  <c r="G12" i="1"/>
  <c r="G27" i="1"/>
  <c r="G11" i="1"/>
  <c r="G559" i="1"/>
  <c r="G543" i="1"/>
  <c r="G511" i="1"/>
  <c r="G495" i="1"/>
  <c r="G479" i="1"/>
  <c r="G463" i="1"/>
  <c r="G447" i="1"/>
  <c r="G431" i="1"/>
  <c r="G415" i="1"/>
  <c r="G399" i="1"/>
  <c r="G383" i="1"/>
  <c r="G351" i="1"/>
  <c r="G335" i="1"/>
  <c r="G319" i="1"/>
  <c r="G303" i="1"/>
  <c r="G287" i="1"/>
  <c r="G271" i="1"/>
  <c r="G255" i="1"/>
  <c r="G239" i="1"/>
  <c r="G223" i="1"/>
  <c r="G207" i="1"/>
  <c r="G175" i="1"/>
  <c r="G159" i="1"/>
  <c r="G143" i="1"/>
  <c r="G127" i="1"/>
  <c r="G111" i="1"/>
  <c r="G95" i="1"/>
  <c r="G79" i="1"/>
  <c r="G63" i="1"/>
  <c r="G47" i="1"/>
  <c r="G31" i="1"/>
  <c r="G15" i="1"/>
  <c r="G557" i="1"/>
  <c r="G541" i="1"/>
  <c r="G525" i="1"/>
  <c r="G509" i="1"/>
  <c r="G493" i="1"/>
  <c r="G477" i="1"/>
  <c r="G461" i="1"/>
  <c r="G445" i="1"/>
  <c r="G429" i="1"/>
  <c r="G413" i="1"/>
  <c r="G397" i="1"/>
  <c r="G381" i="1"/>
  <c r="G556" i="1"/>
  <c r="G540" i="1"/>
  <c r="G524" i="1"/>
  <c r="G508" i="1"/>
  <c r="G492" i="1"/>
  <c r="G476" i="1"/>
  <c r="G460" i="1"/>
  <c r="G444" i="1"/>
  <c r="G428" i="1"/>
  <c r="G412" i="1"/>
  <c r="G396" i="1"/>
  <c r="G364" i="1"/>
  <c r="G348" i="1"/>
  <c r="G332" i="1"/>
  <c r="G316" i="1"/>
  <c r="G300" i="1"/>
  <c r="G284" i="1"/>
  <c r="G268" i="1"/>
  <c r="G252" i="1"/>
  <c r="G236" i="1"/>
  <c r="G220" i="1"/>
  <c r="G204" i="1"/>
  <c r="G188" i="1"/>
  <c r="G172" i="1"/>
  <c r="G156" i="1"/>
  <c r="G140" i="1"/>
  <c r="G124" i="1"/>
  <c r="G108" i="1"/>
  <c r="G92" i="1"/>
  <c r="G76" i="1"/>
  <c r="G60" i="1"/>
  <c r="G554" i="1"/>
  <c r="G538" i="1"/>
  <c r="G522" i="1"/>
  <c r="G490" i="1"/>
  <c r="G474" i="1"/>
  <c r="G458" i="1"/>
  <c r="G442" i="1"/>
  <c r="G426" i="1"/>
  <c r="G410" i="1"/>
  <c r="G394" i="1"/>
  <c r="G378" i="1"/>
  <c r="G362" i="1"/>
  <c r="G346" i="1"/>
  <c r="G330" i="1"/>
  <c r="G392" i="1"/>
  <c r="G567" i="1"/>
  <c r="G551" i="1"/>
  <c r="G535" i="1"/>
  <c r="G519" i="1"/>
  <c r="G503" i="1"/>
  <c r="G487" i="1"/>
  <c r="G471" i="1"/>
  <c r="G455" i="1"/>
  <c r="G439" i="1"/>
  <c r="G423" i="1"/>
  <c r="G407" i="1"/>
  <c r="G391" i="1"/>
  <c r="G375" i="1"/>
  <c r="G566" i="1"/>
  <c r="G550" i="1"/>
  <c r="G534" i="1"/>
  <c r="G518" i="1"/>
  <c r="G502" i="1"/>
  <c r="G486" i="1"/>
  <c r="G470" i="1"/>
  <c r="G454" i="1"/>
  <c r="G438" i="1"/>
  <c r="G406" i="1"/>
  <c r="G390" i="1"/>
  <c r="G374" i="1"/>
  <c r="G564" i="1"/>
  <c r="G532" i="1"/>
  <c r="G516" i="1"/>
  <c r="G500" i="1"/>
  <c r="G484" i="1"/>
  <c r="G468" i="1"/>
  <c r="G452" i="1"/>
  <c r="G436" i="1"/>
  <c r="G420" i="1"/>
  <c r="G404" i="1"/>
  <c r="G388" i="1"/>
  <c r="G372" i="1"/>
  <c r="G356" i="1"/>
  <c r="G340" i="1"/>
  <c r="G324" i="1"/>
  <c r="G308" i="1"/>
  <c r="G292" i="1"/>
  <c r="G276" i="1"/>
  <c r="G562" i="1"/>
  <c r="G546" i="1"/>
  <c r="G530" i="1"/>
  <c r="G514" i="1"/>
  <c r="G498" i="1"/>
  <c r="G482" i="1"/>
  <c r="G466" i="1"/>
  <c r="G450" i="1"/>
  <c r="G434" i="1"/>
  <c r="G418" i="1"/>
  <c r="G402" i="1"/>
  <c r="G386" i="1"/>
  <c r="G370" i="1"/>
  <c r="G354" i="1"/>
  <c r="G322" i="1"/>
  <c r="G306" i="1"/>
  <c r="G290" i="1"/>
  <c r="G274" i="1"/>
  <c r="G258" i="1"/>
  <c r="G242" i="1"/>
  <c r="G226" i="1"/>
  <c r="G210" i="1"/>
  <c r="G194" i="1"/>
  <c r="G178" i="1"/>
  <c r="G162" i="1"/>
  <c r="G146" i="1"/>
  <c r="G130" i="1"/>
  <c r="G114" i="1"/>
  <c r="G98" i="1"/>
  <c r="G82" i="1"/>
  <c r="G66" i="1"/>
  <c r="G50" i="1"/>
  <c r="G34" i="1"/>
  <c r="G18" i="1"/>
  <c r="G225" i="1"/>
  <c r="G209" i="1"/>
  <c r="G193" i="1"/>
  <c r="G177" i="1"/>
  <c r="G161" i="1"/>
  <c r="G145" i="1"/>
  <c r="G129" i="1"/>
  <c r="G113" i="1"/>
  <c r="G97" i="1"/>
  <c r="G81" i="1"/>
  <c r="G49" i="1"/>
  <c r="G33" i="1"/>
  <c r="G17" i="1"/>
  <c r="G368" i="1"/>
  <c r="G352" i="1"/>
  <c r="G336" i="1"/>
  <c r="G320" i="1"/>
  <c r="G304" i="1"/>
  <c r="G288" i="1"/>
  <c r="G272" i="1"/>
  <c r="G256" i="1"/>
  <c r="G240" i="1"/>
  <c r="G224" i="1"/>
  <c r="G208" i="1"/>
  <c r="G192" i="1"/>
  <c r="G176" i="1"/>
  <c r="G160" i="1"/>
  <c r="G144" i="1"/>
  <c r="G112" i="1"/>
  <c r="G96" i="1"/>
  <c r="G80" i="1"/>
  <c r="G64" i="1"/>
  <c r="G48" i="1"/>
  <c r="G32" i="1"/>
  <c r="G16" i="1"/>
  <c r="G365" i="1"/>
  <c r="G349" i="1"/>
  <c r="G333" i="1"/>
  <c r="G301" i="1"/>
  <c r="G285" i="1"/>
  <c r="G269" i="1"/>
  <c r="G253" i="1"/>
  <c r="G237" i="1"/>
  <c r="G221" i="1"/>
  <c r="G205" i="1"/>
  <c r="G189" i="1"/>
  <c r="G173" i="1"/>
  <c r="G157" i="1"/>
  <c r="G141" i="1"/>
  <c r="G125" i="1"/>
  <c r="G109" i="1"/>
  <c r="G93" i="1"/>
  <c r="G77" i="1"/>
  <c r="G61" i="1"/>
  <c r="G45" i="1"/>
  <c r="G29" i="1"/>
  <c r="G13" i="1"/>
  <c r="G314" i="1"/>
  <c r="G298" i="1"/>
  <c r="G282" i="1"/>
  <c r="G266" i="1"/>
  <c r="G250" i="1"/>
  <c r="G234" i="1"/>
  <c r="G218" i="1"/>
  <c r="G202" i="1"/>
  <c r="G186" i="1"/>
  <c r="G154" i="1"/>
  <c r="G138" i="1"/>
  <c r="G122" i="1"/>
  <c r="G106" i="1"/>
  <c r="G90" i="1"/>
  <c r="G74" i="1"/>
  <c r="G58" i="1"/>
  <c r="G42" i="1"/>
  <c r="G26" i="1"/>
  <c r="G10" i="1"/>
  <c r="G376" i="1"/>
  <c r="G360" i="1"/>
  <c r="G344" i="1"/>
  <c r="G328" i="1"/>
  <c r="G312" i="1"/>
  <c r="G280" i="1"/>
  <c r="G264" i="1"/>
  <c r="G248" i="1"/>
  <c r="G232" i="1"/>
  <c r="G216" i="1"/>
  <c r="G200" i="1"/>
  <c r="G184" i="1"/>
  <c r="G168" i="1"/>
  <c r="G152" i="1"/>
  <c r="G136" i="1"/>
  <c r="G120" i="1"/>
  <c r="G104" i="1"/>
  <c r="G88" i="1"/>
  <c r="G72" i="1"/>
  <c r="G56" i="1"/>
  <c r="G40" i="1"/>
  <c r="G24" i="1"/>
  <c r="G8" i="1"/>
  <c r="G343" i="1"/>
  <c r="G327" i="1"/>
  <c r="G311" i="1"/>
  <c r="G295" i="1"/>
  <c r="G279" i="1"/>
  <c r="G263" i="1"/>
  <c r="G247" i="1"/>
  <c r="G231" i="1"/>
  <c r="G215" i="1"/>
  <c r="G199" i="1"/>
  <c r="G183" i="1"/>
  <c r="G167" i="1"/>
  <c r="G151" i="1"/>
  <c r="G135" i="1"/>
  <c r="G119" i="1"/>
  <c r="G103" i="1"/>
  <c r="G87" i="1"/>
  <c r="G71" i="1"/>
  <c r="G55" i="1"/>
  <c r="G39" i="1"/>
  <c r="G7" i="1"/>
  <c r="G358" i="1"/>
  <c r="G342" i="1"/>
  <c r="G326" i="1"/>
  <c r="G310" i="1"/>
  <c r="G294" i="1"/>
  <c r="G278" i="1"/>
  <c r="G262" i="1"/>
  <c r="G246" i="1"/>
  <c r="G230" i="1"/>
  <c r="G214" i="1"/>
  <c r="G198" i="1"/>
  <c r="G182" i="1"/>
  <c r="G166" i="1"/>
  <c r="G150" i="1"/>
  <c r="G134" i="1"/>
  <c r="G118" i="1"/>
  <c r="G102" i="1"/>
  <c r="G70" i="1"/>
  <c r="G54" i="1"/>
  <c r="G38" i="1"/>
  <c r="G22" i="1"/>
  <c r="G260" i="1"/>
  <c r="G244" i="1"/>
  <c r="G228" i="1"/>
  <c r="G196" i="1"/>
  <c r="G180" i="1"/>
  <c r="G164" i="1"/>
  <c r="G148" i="1"/>
  <c r="G132" i="1"/>
  <c r="G116" i="1"/>
  <c r="G100" i="1"/>
  <c r="G84" i="1"/>
  <c r="G68" i="1"/>
  <c r="G52" i="1"/>
  <c r="G36" i="1"/>
  <c r="G20" i="1"/>
  <c r="G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0595F6-0760-424F-9947-6DA1DCA4EE6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<sst xmlns="http://schemas.openxmlformats.org/spreadsheetml/2006/main" count="1143" uniqueCount="57">
  <si>
    <t>Austria</t>
  </si>
  <si>
    <t>01/01/2000</t>
  </si>
  <si>
    <t>01/01/2001</t>
  </si>
  <si>
    <t>01/01/2002</t>
  </si>
  <si>
    <t>01/01/2003</t>
  </si>
  <si>
    <t>01/01/2004</t>
  </si>
  <si>
    <t>01/01/2005</t>
  </si>
  <si>
    <t>01/01/2006</t>
  </si>
  <si>
    <t>01/01/2007</t>
  </si>
  <si>
    <t>01/01/2008</t>
  </si>
  <si>
    <t>01/01/2009</t>
  </si>
  <si>
    <t>01/01/2010</t>
  </si>
  <si>
    <t>01/01/2011</t>
  </si>
  <si>
    <t>01/01/2012</t>
  </si>
  <si>
    <t>01/01/2013</t>
  </si>
  <si>
    <t>01/01/2014</t>
  </si>
  <si>
    <t>01/01/2015</t>
  </si>
  <si>
    <t>01/01/2016</t>
  </si>
  <si>
    <t>01/01/2017</t>
  </si>
  <si>
    <t>01/01/2018</t>
  </si>
  <si>
    <t>01/01/2019</t>
  </si>
  <si>
    <t>01/01/2020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</si>
  <si>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</si>
  <si>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</si>
  <si>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</si>
  <si>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</si>
  <si>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</si>
  <si>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</si>
  <si>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</si>
  <si>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</si>
  <si>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</si>
  <si>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</si>
  <si>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</si>
  <si>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</si>
  <si>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</si>
  <si>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</si>
  <si>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</si>
  <si>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</si>
  <si>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</si>
  <si>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</si>
  <si>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</si>
  <si>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</si>
  <si>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</si>
  <si>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</si>
  <si>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</si>
  <si>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</si>
  <si>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</si>
  <si>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</si>
  <si>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price_level_index</t>
  </si>
  <si>
    <t>annual_net_earnings</t>
  </si>
  <si>
    <t>Column2</t>
  </si>
  <si>
    <t>price_level_index_mean_deviance</t>
  </si>
  <si>
    <t>date</t>
  </si>
  <si>
    <t>country</t>
  </si>
  <si>
    <t>yoy</t>
  </si>
  <si>
    <t>annual_net_earnings_raw</t>
  </si>
  <si>
    <t>european_earnings_index_raw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</si>
</sst>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43" fontId="2" fillId="0" borderId="0" xfId="1" applyFont="1" applyFill="1" applyBorder="1" applyAlignment="1" applyProtection="1"/>
    <xf numFmtId="10" fontId="0" fillId="0" borderId="0" xfId="2" applyNumberFormat="1" applyFont="1"/>
    <xf numFmtId="0" fontId="4" fillId="0" borderId="1" xfId="0" applyFont="1" applyBorder="1"/>
    <xf numFmtId="0" fontId="4" fillId="0" borderId="2" xfId="0" applyFont="1" applyBorder="1"/>
    <xf numFmtId="0" fontId="0" fillId="0" borderId="0" xfId="0" applyFont="1"/>
    <xf numFmtId="43" fontId="5" fillId="0" borderId="0" xfId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43" fontId="2" fillId="0" borderId="0" xfId="0" applyNumberFormat="1" applyFont="1" applyFill="1" applyBorder="1" applyAlignment="1" applyProtection="1"/>
    <xf numFmtId="10" fontId="5" fillId="0" borderId="0" xfId="0" applyNumberFormat="1" applyFont="1" applyFill="1" applyBorder="1" applyAlignment="1" applyProtection="1"/>
    <xf numFmtId="10" fontId="2" fillId="0" borderId="0" xfId="0" applyNumberFormat="1" applyFont="1" applyFill="1" applyBorder="1" applyAlignment="1" applyProtection="1"/>
    <xf numFmtId="1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A8D15-8088-457C-9422-20D2D6024AAF}" name="Table1" displayName="Table1" ref="A1:I568" totalsRowShown="0" headerRowDxfId="6">
  <autoFilter ref="A1:I568" xr:uid="{5DBA8D15-8088-457C-9422-20D2D6024AAF}"/>
  <tableColumns count="9">
    <tableColumn id="1" xr3:uid="{4BD17E3A-554A-486B-BBB2-0395E33033CB}" name="country"/>
    <tableColumn id="2" xr3:uid="{DA4E08FF-A929-415F-A2DD-2695DFB7A935}" name="date"/>
    <tableColumn id="3" xr3:uid="{F218DB23-1984-4612-A6AC-2BEBFE0B1129}" name="price_level_index"/>
    <tableColumn id="11" xr3:uid="{33B3CB0F-1034-4177-A7D5-79BF3701D294}" name="price_level_index_mean_deviance" dataDxfId="5" dataCellStyle="Percent">
      <calculatedColumnFormula>(100-Table1[[#This Row],[price_level_index]])/100</calculatedColumnFormula>
    </tableColumn>
    <tableColumn id="7" xr3:uid="{D71DF14D-58DC-4110-A18F-52D4A1FCD58F}" name="annual_net_earnings_raw" dataDxfId="4" dataCellStyle="Comma"/>
    <tableColumn id="9" xr3:uid="{F334E4A1-4EF0-4606-880A-F179E350C81A}" name="european_earnings_index_raw" dataDxfId="3">
      <calculatedColumnFormula>Table1[[#This Row],[annual_net_earnings_raw]]+(Table1[[#This Row],[annual_net_earnings_raw]]*Table1[[#This Row],[price_level_index_mean_deviance]])</calculatedColumnFormula>
    </tableColumn>
    <tableColumn id="10" xr3:uid="{43269414-5312-482F-8160-5B4B495F0C34}" name="yoy" dataDxfId="2">
      <calculatedColumnFormula>IF(Table1[[#This Row],[date]]&lt;B1,"",(Table1[[#This Row],[european_earnings_index_raw]]-F1)/F1)</calculatedColumnFormula>
    </tableColumn>
    <tableColumn id="15" xr3:uid="{6D5E1D1A-3961-4781-83F6-CF9AB38F9287}" name="annual_net_earnings" dataDxfId="1" dataCellStyle="Comma">
      <calculatedColumnFormula>_xlfn.IFNA(Table1[[#This Row],[annual_net_earnings_raw]], 0)</calculatedColumnFormula>
    </tableColumn>
    <tableColumn id="16" xr3:uid="{7781AF05-BD12-4EC0-B46D-37125F88AE81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8"/>
  <sheetViews>
    <sheetView tabSelected="1" workbookViewId="0">
      <selection activeCell="F34" sqref="F34"/>
    </sheetView>
  </sheetViews>
  <sheetFormatPr defaultRowHeight="15" x14ac:dyDescent="0.25"/>
  <cols>
    <col min="1" max="1" width="10.140625" customWidth="1"/>
    <col min="2" max="2" width="11.42578125" customWidth="1"/>
    <col min="3" max="3" width="19.5703125" customWidth="1"/>
    <col min="4" max="4" width="25.28515625" style="3" customWidth="1"/>
    <col min="5" max="5" width="23.7109375" style="1" customWidth="1"/>
    <col min="6" max="6" width="26.42578125" style="12" customWidth="1"/>
    <col min="7" max="7" width="15.85546875" customWidth="1"/>
    <col min="8" max="8" width="34" style="1" customWidth="1"/>
  </cols>
  <sheetData>
    <row r="1" spans="1:9" x14ac:dyDescent="0.25">
      <c r="A1" s="4" t="s">
        <v>53</v>
      </c>
      <c r="B1" s="5" t="s">
        <v>52</v>
      </c>
      <c r="C1" s="6" t="s">
        <v>48</v>
      </c>
      <c r="D1" s="3" t="s">
        <v>51</v>
      </c>
      <c r="E1" s="7" t="s">
        <v>55</v>
      </c>
      <c r="F1" s="8" t="s">
        <v>56</v>
      </c>
      <c r="G1" s="10" t="s">
        <v>54</v>
      </c>
      <c r="H1" s="7" t="s">
        <v>49</v>
      </c>
      <c r="I1" s="10" t="s">
        <v>50</v>
      </c>
    </row>
    <row r="2" spans="1:9" x14ac:dyDescent="0.25">
      <c r="A2" t="s">
        <v>0</v>
      </c>
      <c r="B2" t="s">
        <v>1</v>
      </c>
      <c r="C2">
        <v>110.8</v>
      </c>
      <c r="D2" s="3">
        <f>(100-Table1[[#This Row],[price_level_index]])/100</f>
        <v>-0.10799999999999997</v>
      </c>
      <c r="E2" s="2">
        <v>19151</v>
      </c>
      <c r="F2" s="9">
        <f>Table1[[#This Row],[annual_net_earnings_raw]]+(Table1[[#This Row],[annual_net_earnings_raw]]*Table1[[#This Row],[price_level_index_mean_deviance]])</f>
        <v>17082.691999999999</v>
      </c>
      <c r="G2" s="11" t="str">
        <f>IF(Table1[[#This Row],[date]]&lt;B1,"",(Table1[[#This Row],[european_earnings_index_raw]]-F1)/F1)</f>
        <v/>
      </c>
      <c r="H2" s="2">
        <f>_xlfn.IFNA(Table1[[#This Row],[annual_net_earnings_raw]], 0)</f>
        <v>19151</v>
      </c>
      <c r="I2" s="11"/>
    </row>
    <row r="3" spans="1:9" x14ac:dyDescent="0.25">
      <c r="A3" t="s">
        <v>0</v>
      </c>
      <c r="B3" t="s">
        <v>2</v>
      </c>
      <c r="C3">
        <v>112.9</v>
      </c>
      <c r="D3" s="3">
        <f>(100-Table1[[#This Row],[price_level_index]])/100</f>
        <v>-0.12900000000000006</v>
      </c>
      <c r="E3" s="2">
        <v>18962</v>
      </c>
      <c r="F3" s="9">
        <f>Table1[[#This Row],[annual_net_earnings_raw]]+(Table1[[#This Row],[annual_net_earnings_raw]]*Table1[[#This Row],[price_level_index_mean_deviance]])</f>
        <v>16515.901999999998</v>
      </c>
      <c r="G3" s="11">
        <f>IF(Table1[[#This Row],[date]]&lt;B2,"",(Table1[[#This Row],[european_earnings_index_raw]]-F2)/F2)</f>
        <v>-3.3179196815115608E-2</v>
      </c>
      <c r="H3" s="2">
        <f>_xlfn.IFNA(Table1[[#This Row],[annual_net_earnings_raw]], 0)</f>
        <v>18962</v>
      </c>
      <c r="I3" s="11"/>
    </row>
    <row r="4" spans="1:9" x14ac:dyDescent="0.25">
      <c r="A4" t="s">
        <v>0</v>
      </c>
      <c r="B4" t="s">
        <v>3</v>
      </c>
      <c r="C4">
        <v>111.6</v>
      </c>
      <c r="D4" s="3">
        <f>(100-Table1[[#This Row],[price_level_index]])/100</f>
        <v>-0.11599999999999994</v>
      </c>
      <c r="E4" s="2">
        <v>19544</v>
      </c>
      <c r="F4" s="9">
        <f>Table1[[#This Row],[annual_net_earnings_raw]]+(Table1[[#This Row],[annual_net_earnings_raw]]*Table1[[#This Row],[price_level_index_mean_deviance]])</f>
        <v>17276.896000000001</v>
      </c>
      <c r="G4" s="11">
        <f>IF(Table1[[#This Row],[date]]&lt;B3,"",(Table1[[#This Row],[european_earnings_index_raw]]-F3)/F3)</f>
        <v>4.6076441964841064E-2</v>
      </c>
      <c r="H4" s="2">
        <f>_xlfn.IFNA(Table1[[#This Row],[annual_net_earnings_raw]], 0)</f>
        <v>19544</v>
      </c>
      <c r="I4" s="11"/>
    </row>
    <row r="5" spans="1:9" x14ac:dyDescent="0.25">
      <c r="A5" t="s">
        <v>0</v>
      </c>
      <c r="B5" t="s">
        <v>4</v>
      </c>
      <c r="C5">
        <v>109.3</v>
      </c>
      <c r="D5" s="3">
        <f>(100-Table1[[#This Row],[price_level_index]])/100</f>
        <v>-9.2999999999999972E-2</v>
      </c>
      <c r="E5" s="2">
        <v>20646</v>
      </c>
      <c r="F5" s="9">
        <f>Table1[[#This Row],[annual_net_earnings_raw]]+(Table1[[#This Row],[annual_net_earnings_raw]]*Table1[[#This Row],[price_level_index_mean_deviance]])</f>
        <v>18725.921999999999</v>
      </c>
      <c r="G5" s="11">
        <f>IF(Table1[[#This Row],[date]]&lt;B4,"",(Table1[[#This Row],[european_earnings_index_raw]]-F4)/F4)</f>
        <v>8.3870736965714093E-2</v>
      </c>
      <c r="H5" s="2">
        <f>_xlfn.IFNA(Table1[[#This Row],[annual_net_earnings_raw]], 0)</f>
        <v>20646</v>
      </c>
      <c r="I5" s="11"/>
    </row>
    <row r="6" spans="1:9" x14ac:dyDescent="0.25">
      <c r="A6" t="s">
        <v>0</v>
      </c>
      <c r="B6" t="s">
        <v>5</v>
      </c>
      <c r="C6">
        <v>108.9</v>
      </c>
      <c r="D6" s="3">
        <f>(100-Table1[[#This Row],[price_level_index]])/100</f>
        <v>-8.9000000000000051E-2</v>
      </c>
      <c r="E6" s="2">
        <v>20708</v>
      </c>
      <c r="F6" s="9">
        <f>Table1[[#This Row],[annual_net_earnings_raw]]+(Table1[[#This Row],[annual_net_earnings_raw]]*Table1[[#This Row],[price_level_index_mean_deviance]])</f>
        <v>18864.987999999998</v>
      </c>
      <c r="G6" s="11">
        <f>IF(Table1[[#This Row],[date]]&lt;B5,"",(Table1[[#This Row],[european_earnings_index_raw]]-F5)/F5)</f>
        <v>7.4263900063237954E-3</v>
      </c>
      <c r="H6" s="2">
        <f>_xlfn.IFNA(Table1[[#This Row],[annual_net_earnings_raw]], 0)</f>
        <v>20708</v>
      </c>
      <c r="I6" s="11"/>
    </row>
    <row r="7" spans="1:9" x14ac:dyDescent="0.25">
      <c r="A7" t="s">
        <v>0</v>
      </c>
      <c r="B7" t="s">
        <v>6</v>
      </c>
      <c r="C7">
        <v>107.7</v>
      </c>
      <c r="D7" s="3">
        <f>(100-Table1[[#This Row],[price_level_index]])/100</f>
        <v>-7.7000000000000027E-2</v>
      </c>
      <c r="E7" s="2">
        <v>21703</v>
      </c>
      <c r="F7" s="9">
        <f>Table1[[#This Row],[annual_net_earnings_raw]]+(Table1[[#This Row],[annual_net_earnings_raw]]*Table1[[#This Row],[price_level_index_mean_deviance]])</f>
        <v>20031.868999999999</v>
      </c>
      <c r="G7" s="11">
        <f>IF(Table1[[#This Row],[date]]&lt;B6,"",(Table1[[#This Row],[european_earnings_index_raw]]-F6)/F6)</f>
        <v>6.1854319758910072E-2</v>
      </c>
      <c r="H7" s="2">
        <f>_xlfn.IFNA(Table1[[#This Row],[annual_net_earnings_raw]], 0)</f>
        <v>21703</v>
      </c>
      <c r="I7" s="11"/>
    </row>
    <row r="8" spans="1:9" x14ac:dyDescent="0.25">
      <c r="A8" t="s">
        <v>0</v>
      </c>
      <c r="B8" t="s">
        <v>7</v>
      </c>
      <c r="C8">
        <v>107.5</v>
      </c>
      <c r="D8" s="3">
        <f>(100-Table1[[#This Row],[price_level_index]])/100</f>
        <v>-7.4999999999999997E-2</v>
      </c>
      <c r="E8" s="2">
        <v>22357</v>
      </c>
      <c r="F8" s="9">
        <f>Table1[[#This Row],[annual_net_earnings_raw]]+(Table1[[#This Row],[annual_net_earnings_raw]]*Table1[[#This Row],[price_level_index_mean_deviance]])</f>
        <v>20680.224999999999</v>
      </c>
      <c r="G8" s="11">
        <f>IF(Table1[[#This Row],[date]]&lt;B7,"",(Table1[[#This Row],[european_earnings_index_raw]]-F7)/F7)</f>
        <v>3.2366226037121137E-2</v>
      </c>
      <c r="H8" s="2">
        <f>_xlfn.IFNA(Table1[[#This Row],[annual_net_earnings_raw]], 0)</f>
        <v>22357</v>
      </c>
      <c r="I8" s="11"/>
    </row>
    <row r="9" spans="1:9" x14ac:dyDescent="0.25">
      <c r="A9" t="s">
        <v>0</v>
      </c>
      <c r="B9" t="s">
        <v>8</v>
      </c>
      <c r="C9">
        <v>109.3</v>
      </c>
      <c r="D9" s="3">
        <f>(100-Table1[[#This Row],[price_level_index]])/100</f>
        <v>-9.2999999999999972E-2</v>
      </c>
      <c r="E9" s="2">
        <v>22880</v>
      </c>
      <c r="F9" s="9">
        <f>Table1[[#This Row],[annual_net_earnings_raw]]+(Table1[[#This Row],[annual_net_earnings_raw]]*Table1[[#This Row],[price_level_index_mean_deviance]])</f>
        <v>20752.16</v>
      </c>
      <c r="G9" s="11">
        <f>IF(Table1[[#This Row],[date]]&lt;B8,"",(Table1[[#This Row],[european_earnings_index_raw]]-F8)/F8)</f>
        <v>3.478443779020843E-3</v>
      </c>
      <c r="H9" s="2">
        <f>_xlfn.IFNA(Table1[[#This Row],[annual_net_earnings_raw]], 0)</f>
        <v>22880</v>
      </c>
      <c r="I9" s="11"/>
    </row>
    <row r="10" spans="1:9" x14ac:dyDescent="0.25">
      <c r="A10" t="s">
        <v>0</v>
      </c>
      <c r="B10" t="s">
        <v>9</v>
      </c>
      <c r="C10">
        <v>109.8</v>
      </c>
      <c r="D10" s="3">
        <f>(100-Table1[[#This Row],[price_level_index]])/100</f>
        <v>-9.7999999999999976E-2</v>
      </c>
      <c r="E10" s="2">
        <v>23236</v>
      </c>
      <c r="F10" s="9">
        <f>Table1[[#This Row],[annual_net_earnings_raw]]+(Table1[[#This Row],[annual_net_earnings_raw]]*Table1[[#This Row],[price_level_index_mean_deviance]])</f>
        <v>20958.871999999999</v>
      </c>
      <c r="G10" s="11">
        <f>IF(Table1[[#This Row],[date]]&lt;B9,"",(Table1[[#This Row],[european_earnings_index_raw]]-F9)/F9)</f>
        <v>9.9609871936222321E-3</v>
      </c>
      <c r="H10" s="2">
        <f>_xlfn.IFNA(Table1[[#This Row],[annual_net_earnings_raw]], 0)</f>
        <v>23236</v>
      </c>
      <c r="I10" s="11"/>
    </row>
    <row r="11" spans="1:9" x14ac:dyDescent="0.25">
      <c r="A11" t="s">
        <v>0</v>
      </c>
      <c r="B11" t="s">
        <v>10</v>
      </c>
      <c r="C11">
        <v>111.4</v>
      </c>
      <c r="D11" s="3">
        <f>(100-Table1[[#This Row],[price_level_index]])/100</f>
        <v>-0.11400000000000006</v>
      </c>
      <c r="E11" s="2">
        <v>23801</v>
      </c>
      <c r="F11" s="9">
        <f>Table1[[#This Row],[annual_net_earnings_raw]]+(Table1[[#This Row],[annual_net_earnings_raw]]*Table1[[#This Row],[price_level_index_mean_deviance]])</f>
        <v>21087.685999999998</v>
      </c>
      <c r="G11" s="11">
        <f>IF(Table1[[#This Row],[date]]&lt;B10,"",(Table1[[#This Row],[european_earnings_index_raw]]-F10)/F10)</f>
        <v>6.1460368668694813E-3</v>
      </c>
      <c r="H11" s="2">
        <f>_xlfn.IFNA(Table1[[#This Row],[annual_net_earnings_raw]], 0)</f>
        <v>23801</v>
      </c>
      <c r="I11" s="11"/>
    </row>
    <row r="12" spans="1:9" x14ac:dyDescent="0.25">
      <c r="A12" t="s">
        <v>0</v>
      </c>
      <c r="B12" t="s">
        <v>11</v>
      </c>
      <c r="C12">
        <v>111.4</v>
      </c>
      <c r="D12" s="3">
        <f>(100-Table1[[#This Row],[price_level_index]])/100</f>
        <v>-0.11400000000000006</v>
      </c>
      <c r="E12" s="2">
        <v>24156</v>
      </c>
      <c r="F12" s="9">
        <f>Table1[[#This Row],[annual_net_earnings_raw]]+(Table1[[#This Row],[annual_net_earnings_raw]]*Table1[[#This Row],[price_level_index_mean_deviance]])</f>
        <v>21402.216</v>
      </c>
      <c r="G12" s="11">
        <f>IF(Table1[[#This Row],[date]]&lt;B11,"",(Table1[[#This Row],[european_earnings_index_raw]]-F11)/F11)</f>
        <v>1.4915339691609715E-2</v>
      </c>
      <c r="H12" s="2">
        <f>_xlfn.IFNA(Table1[[#This Row],[annual_net_earnings_raw]], 0)</f>
        <v>24156</v>
      </c>
      <c r="I12" s="11"/>
    </row>
    <row r="13" spans="1:9" x14ac:dyDescent="0.25">
      <c r="A13" t="s">
        <v>0</v>
      </c>
      <c r="B13" t="s">
        <v>12</v>
      </c>
      <c r="C13">
        <v>112.3</v>
      </c>
      <c r="D13" s="3">
        <f>(100-Table1[[#This Row],[price_level_index]])/100</f>
        <v>-0.12299999999999997</v>
      </c>
      <c r="E13" s="2">
        <v>24542</v>
      </c>
      <c r="F13" s="9">
        <f>Table1[[#This Row],[annual_net_earnings_raw]]+(Table1[[#This Row],[annual_net_earnings_raw]]*Table1[[#This Row],[price_level_index_mean_deviance]])</f>
        <v>21523.334000000003</v>
      </c>
      <c r="G13" s="11">
        <f>IF(Table1[[#This Row],[date]]&lt;B12,"",(Table1[[#This Row],[european_earnings_index_raw]]-F12)/F12)</f>
        <v>5.6591336149491344E-3</v>
      </c>
      <c r="H13" s="2">
        <f>_xlfn.IFNA(Table1[[#This Row],[annual_net_earnings_raw]], 0)</f>
        <v>24542</v>
      </c>
      <c r="I13" s="11"/>
    </row>
    <row r="14" spans="1:9" x14ac:dyDescent="0.25">
      <c r="A14" t="s">
        <v>0</v>
      </c>
      <c r="B14" t="s">
        <v>13</v>
      </c>
      <c r="C14">
        <v>112.5</v>
      </c>
      <c r="D14" s="3">
        <f>(100-Table1[[#This Row],[price_level_index]])/100</f>
        <v>-0.125</v>
      </c>
      <c r="E14" s="2">
        <v>24885</v>
      </c>
      <c r="F14" s="9">
        <f>Table1[[#This Row],[annual_net_earnings_raw]]+(Table1[[#This Row],[annual_net_earnings_raw]]*Table1[[#This Row],[price_level_index_mean_deviance]])</f>
        <v>21774.375</v>
      </c>
      <c r="G14" s="11">
        <f>IF(Table1[[#This Row],[date]]&lt;B13,"",(Table1[[#This Row],[european_earnings_index_raw]]-F13)/F13)</f>
        <v>1.1663666976500824E-2</v>
      </c>
      <c r="H14" s="2">
        <f>_xlfn.IFNA(Table1[[#This Row],[annual_net_earnings_raw]], 0)</f>
        <v>24885</v>
      </c>
      <c r="I14" s="11"/>
    </row>
    <row r="15" spans="1:9" x14ac:dyDescent="0.25">
      <c r="A15" t="s">
        <v>0</v>
      </c>
      <c r="B15" t="s">
        <v>14</v>
      </c>
      <c r="C15">
        <v>112.4</v>
      </c>
      <c r="D15" s="3">
        <f>(100-Table1[[#This Row],[price_level_index]])/100</f>
        <v>-0.12400000000000005</v>
      </c>
      <c r="E15" s="2">
        <v>25353</v>
      </c>
      <c r="F15" s="9">
        <f>Table1[[#This Row],[annual_net_earnings_raw]]+(Table1[[#This Row],[annual_net_earnings_raw]]*Table1[[#This Row],[price_level_index_mean_deviance]])</f>
        <v>22209.227999999999</v>
      </c>
      <c r="G15" s="11">
        <f>IF(Table1[[#This Row],[date]]&lt;B14,"",(Table1[[#This Row],[european_earnings_index_raw]]-F14)/F14)</f>
        <v>1.9970860242831272E-2</v>
      </c>
      <c r="H15" s="2">
        <f>_xlfn.IFNA(Table1[[#This Row],[annual_net_earnings_raw]], 0)</f>
        <v>25353</v>
      </c>
      <c r="I15" s="11"/>
    </row>
    <row r="16" spans="1:9" x14ac:dyDescent="0.25">
      <c r="A16" t="s">
        <v>0</v>
      </c>
      <c r="B16" t="s">
        <v>15</v>
      </c>
      <c r="C16">
        <v>113.7</v>
      </c>
      <c r="D16" s="3">
        <f>(100-Table1[[#This Row],[price_level_index]])/100</f>
        <v>-0.13700000000000004</v>
      </c>
      <c r="E16" s="2">
        <v>25565</v>
      </c>
      <c r="F16" s="9">
        <f>Table1[[#This Row],[annual_net_earnings_raw]]+(Table1[[#This Row],[annual_net_earnings_raw]]*Table1[[#This Row],[price_level_index_mean_deviance]])</f>
        <v>22062.594999999998</v>
      </c>
      <c r="G16" s="11">
        <f>IF(Table1[[#This Row],[date]]&lt;B15,"",(Table1[[#This Row],[european_earnings_index_raw]]-F15)/F15)</f>
        <v>-6.602345655598728E-3</v>
      </c>
      <c r="H16" s="2">
        <f>_xlfn.IFNA(Table1[[#This Row],[annual_net_earnings_raw]], 0)</f>
        <v>25565</v>
      </c>
      <c r="I16" s="11"/>
    </row>
    <row r="17" spans="1:9" x14ac:dyDescent="0.25">
      <c r="A17" t="s">
        <v>0</v>
      </c>
      <c r="B17" t="s">
        <v>16</v>
      </c>
      <c r="C17">
        <v>114.1</v>
      </c>
      <c r="D17" s="3">
        <f>(100-Table1[[#This Row],[price_level_index]])/100</f>
        <v>-0.14099999999999993</v>
      </c>
      <c r="E17" s="2">
        <v>26096</v>
      </c>
      <c r="F17" s="9">
        <f>Table1[[#This Row],[annual_net_earnings_raw]]+(Table1[[#This Row],[annual_net_earnings_raw]]*Table1[[#This Row],[price_level_index_mean_deviance]])</f>
        <v>22416.464</v>
      </c>
      <c r="G17" s="11">
        <f>IF(Table1[[#This Row],[date]]&lt;B16,"",(Table1[[#This Row],[european_earnings_index_raw]]-F16)/F16)</f>
        <v>1.6039319037493206E-2</v>
      </c>
      <c r="H17" s="2">
        <f>_xlfn.IFNA(Table1[[#This Row],[annual_net_earnings_raw]], 0)</f>
        <v>26096</v>
      </c>
      <c r="I17" s="11"/>
    </row>
    <row r="18" spans="1:9" x14ac:dyDescent="0.25">
      <c r="A18" t="s">
        <v>0</v>
      </c>
      <c r="B18" t="s">
        <v>17</v>
      </c>
      <c r="C18">
        <v>115.2</v>
      </c>
      <c r="D18" s="3">
        <f>(100-Table1[[#This Row],[price_level_index]])/100</f>
        <v>-0.15200000000000002</v>
      </c>
      <c r="E18" s="2">
        <v>27707</v>
      </c>
      <c r="F18" s="9">
        <f>Table1[[#This Row],[annual_net_earnings_raw]]+(Table1[[#This Row],[annual_net_earnings_raw]]*Table1[[#This Row],[price_level_index_mean_deviance]])</f>
        <v>23495.536</v>
      </c>
      <c r="G18" s="11">
        <f>IF(Table1[[#This Row],[date]]&lt;B17,"",(Table1[[#This Row],[european_earnings_index_raw]]-F17)/F17)</f>
        <v>4.8137476097925173E-2</v>
      </c>
      <c r="H18" s="2">
        <f>_xlfn.IFNA(Table1[[#This Row],[annual_net_earnings_raw]], 0)</f>
        <v>27707</v>
      </c>
      <c r="I18" s="11"/>
    </row>
    <row r="19" spans="1:9" x14ac:dyDescent="0.25">
      <c r="A19" t="s">
        <v>0</v>
      </c>
      <c r="B19" t="s">
        <v>18</v>
      </c>
      <c r="C19">
        <v>116.5</v>
      </c>
      <c r="D19" s="3">
        <f>(100-Table1[[#This Row],[price_level_index]])/100</f>
        <v>-0.16500000000000001</v>
      </c>
      <c r="E19" s="2">
        <v>27832</v>
      </c>
      <c r="F19" s="9">
        <f>Table1[[#This Row],[annual_net_earnings_raw]]+(Table1[[#This Row],[annual_net_earnings_raw]]*Table1[[#This Row],[price_level_index_mean_deviance]])</f>
        <v>23239.72</v>
      </c>
      <c r="G19" s="11">
        <f>IF(Table1[[#This Row],[date]]&lt;B18,"",(Table1[[#This Row],[european_earnings_index_raw]]-F18)/F18)</f>
        <v>-1.0887855463267529E-2</v>
      </c>
      <c r="H19" s="2">
        <f>_xlfn.IFNA(Table1[[#This Row],[annual_net_earnings_raw]], 0)</f>
        <v>27832</v>
      </c>
      <c r="I19" s="11"/>
    </row>
    <row r="20" spans="1:9" x14ac:dyDescent="0.25">
      <c r="A20" t="s">
        <v>0</v>
      </c>
      <c r="B20" t="s">
        <v>19</v>
      </c>
      <c r="C20">
        <v>117.2</v>
      </c>
      <c r="D20" s="3">
        <f>(100-Table1[[#This Row],[price_level_index]])/100</f>
        <v>-0.17200000000000004</v>
      </c>
      <c r="E20" s="2">
        <v>28207</v>
      </c>
      <c r="F20" s="9">
        <f>Table1[[#This Row],[annual_net_earnings_raw]]+(Table1[[#This Row],[annual_net_earnings_raw]]*Table1[[#This Row],[price_level_index_mean_deviance]])</f>
        <v>23355.396000000001</v>
      </c>
      <c r="G20" s="11">
        <f>IF(Table1[[#This Row],[date]]&lt;B19,"",(Table1[[#This Row],[european_earnings_index_raw]]-F19)/F19)</f>
        <v>4.9775126378458724E-3</v>
      </c>
      <c r="H20" s="2">
        <f>_xlfn.IFNA(Table1[[#This Row],[annual_net_earnings_raw]], 0)</f>
        <v>28207</v>
      </c>
      <c r="I20" s="11"/>
    </row>
    <row r="21" spans="1:9" x14ac:dyDescent="0.25">
      <c r="A21" t="s">
        <v>0</v>
      </c>
      <c r="B21" t="s">
        <v>20</v>
      </c>
      <c r="C21">
        <v>118.3</v>
      </c>
      <c r="D21" s="3">
        <f>(100-Table1[[#This Row],[price_level_index]])/100</f>
        <v>-0.18299999999999997</v>
      </c>
      <c r="E21" s="2">
        <v>28540</v>
      </c>
      <c r="F21" s="9">
        <f>Table1[[#This Row],[annual_net_earnings_raw]]+(Table1[[#This Row],[annual_net_earnings_raw]]*Table1[[#This Row],[price_level_index_mean_deviance]])</f>
        <v>23317.18</v>
      </c>
      <c r="G21" s="11">
        <f>IF(Table1[[#This Row],[date]]&lt;B20,"",(Table1[[#This Row],[european_earnings_index_raw]]-F20)/F20)</f>
        <v>-1.6362813972411493E-3</v>
      </c>
      <c r="H21" s="2">
        <f>_xlfn.IFNA(Table1[[#This Row],[annual_net_earnings_raw]], 0)</f>
        <v>28540</v>
      </c>
      <c r="I21" s="11"/>
    </row>
    <row r="22" spans="1:9" x14ac:dyDescent="0.25">
      <c r="A22" t="s">
        <v>0</v>
      </c>
      <c r="B22" t="s">
        <v>21</v>
      </c>
      <c r="C22">
        <v>118.7</v>
      </c>
      <c r="D22" s="3">
        <f>(100-Table1[[#This Row],[price_level_index]])/100</f>
        <v>-0.18700000000000003</v>
      </c>
      <c r="E22" s="2">
        <v>29547</v>
      </c>
      <c r="F22" s="9">
        <f>Table1[[#This Row],[annual_net_earnings_raw]]+(Table1[[#This Row],[annual_net_earnings_raw]]*Table1[[#This Row],[price_level_index_mean_deviance]])</f>
        <v>24021.710999999999</v>
      </c>
      <c r="G22" s="11">
        <f>IF(Table1[[#This Row],[date]]&lt;B21,"",(Table1[[#This Row],[european_earnings_index_raw]]-F21)/F21)</f>
        <v>3.0215103198585721E-2</v>
      </c>
      <c r="H22" s="2">
        <f>_xlfn.IFNA(Table1[[#This Row],[annual_net_earnings_raw]], 0)</f>
        <v>29547</v>
      </c>
      <c r="I22" s="11"/>
    </row>
    <row r="23" spans="1:9" x14ac:dyDescent="0.25">
      <c r="A23" t="s">
        <v>22</v>
      </c>
      <c r="B23" t="s">
        <v>1</v>
      </c>
      <c r="C23">
        <v>110.2</v>
      </c>
      <c r="D23" s="3">
        <f>(100-Table1[[#This Row],[price_level_index]])/100</f>
        <v>-0.10200000000000004</v>
      </c>
      <c r="E23" s="2">
        <v>16531</v>
      </c>
      <c r="F23" s="9">
        <f>Table1[[#This Row],[annual_net_earnings_raw]]+(Table1[[#This Row],[annual_net_earnings_raw]]*Table1[[#This Row],[price_level_index_mean_deviance]])</f>
        <v>14844.838</v>
      </c>
      <c r="G23" s="11" t="str">
        <f>IF(Table1[[#This Row],[date]]&lt;B22,"",(Table1[[#This Row],[european_earnings_index_raw]]-F22)/F22)</f>
        <v/>
      </c>
      <c r="H23" s="2">
        <f>_xlfn.IFNA(Table1[[#This Row],[annual_net_earnings_raw]], 0)</f>
        <v>16531</v>
      </c>
      <c r="I23" s="11"/>
    </row>
    <row r="24" spans="1:9" x14ac:dyDescent="0.25">
      <c r="A24" t="s">
        <v>22</v>
      </c>
      <c r="B24" t="s">
        <v>2</v>
      </c>
      <c r="C24">
        <v>110.6</v>
      </c>
      <c r="D24" s="3">
        <f>(100-Table1[[#This Row],[price_level_index]])/100</f>
        <v>-0.10599999999999994</v>
      </c>
      <c r="E24" s="2">
        <v>17246</v>
      </c>
      <c r="F24" s="9">
        <f>Table1[[#This Row],[annual_net_earnings_raw]]+(Table1[[#This Row],[annual_net_earnings_raw]]*Table1[[#This Row],[price_level_index_mean_deviance]])</f>
        <v>15417.924000000001</v>
      </c>
      <c r="G24" s="11">
        <f>IF(Table1[[#This Row],[date]]&lt;B23,"",(Table1[[#This Row],[european_earnings_index_raw]]-F23)/F23)</f>
        <v>3.8605069317698255E-2</v>
      </c>
      <c r="H24" s="2">
        <f>_xlfn.IFNA(Table1[[#This Row],[annual_net_earnings_raw]], 0)</f>
        <v>17246</v>
      </c>
      <c r="I24" s="11"/>
    </row>
    <row r="25" spans="1:9" x14ac:dyDescent="0.25">
      <c r="A25" t="s">
        <v>22</v>
      </c>
      <c r="B25" t="s">
        <v>3</v>
      </c>
      <c r="C25">
        <v>109.3</v>
      </c>
      <c r="D25" s="3">
        <f>(100-Table1[[#This Row],[price_level_index]])/100</f>
        <v>-9.2999999999999972E-2</v>
      </c>
      <c r="E25" s="2">
        <v>18185</v>
      </c>
      <c r="F25" s="9">
        <f>Table1[[#This Row],[annual_net_earnings_raw]]+(Table1[[#This Row],[annual_net_earnings_raw]]*Table1[[#This Row],[price_level_index_mean_deviance]])</f>
        <v>16493.795000000002</v>
      </c>
      <c r="G25" s="11">
        <f>IF(Table1[[#This Row],[date]]&lt;B24,"",(Table1[[#This Row],[european_earnings_index_raw]]-F24)/F24)</f>
        <v>6.9780535952830028E-2</v>
      </c>
      <c r="H25" s="2">
        <f>_xlfn.IFNA(Table1[[#This Row],[annual_net_earnings_raw]], 0)</f>
        <v>18185</v>
      </c>
      <c r="I25" s="11"/>
    </row>
    <row r="26" spans="1:9" x14ac:dyDescent="0.25">
      <c r="A26" t="s">
        <v>22</v>
      </c>
      <c r="B26" t="s">
        <v>4</v>
      </c>
      <c r="C26">
        <v>109.7</v>
      </c>
      <c r="D26" s="3">
        <f>(100-Table1[[#This Row],[price_level_index]])/100</f>
        <v>-9.7000000000000031E-2</v>
      </c>
      <c r="E26" s="2">
        <v>18344</v>
      </c>
      <c r="F26" s="9">
        <f>Table1[[#This Row],[annual_net_earnings_raw]]+(Table1[[#This Row],[annual_net_earnings_raw]]*Table1[[#This Row],[price_level_index_mean_deviance]])</f>
        <v>16564.631999999998</v>
      </c>
      <c r="G26" s="11">
        <f>IF(Table1[[#This Row],[date]]&lt;B25,"",(Table1[[#This Row],[european_earnings_index_raw]]-F25)/F25)</f>
        <v>4.2947666076846407E-3</v>
      </c>
      <c r="H26" s="2">
        <f>_xlfn.IFNA(Table1[[#This Row],[annual_net_earnings_raw]], 0)</f>
        <v>18344</v>
      </c>
      <c r="I26" s="11"/>
    </row>
    <row r="27" spans="1:9" x14ac:dyDescent="0.25">
      <c r="A27" t="s">
        <v>22</v>
      </c>
      <c r="B27" t="s">
        <v>5</v>
      </c>
      <c r="C27">
        <v>111</v>
      </c>
      <c r="D27" s="3">
        <f>(100-Table1[[#This Row],[price_level_index]])/100</f>
        <v>-0.11</v>
      </c>
      <c r="E27" s="2">
        <v>18926</v>
      </c>
      <c r="F27" s="9">
        <f>Table1[[#This Row],[annual_net_earnings_raw]]+(Table1[[#This Row],[annual_net_earnings_raw]]*Table1[[#This Row],[price_level_index_mean_deviance]])</f>
        <v>16844.14</v>
      </c>
      <c r="G27" s="11">
        <f>IF(Table1[[#This Row],[date]]&lt;B26,"",(Table1[[#This Row],[european_earnings_index_raw]]-F26)/F26)</f>
        <v>1.6873782647269294E-2</v>
      </c>
      <c r="H27" s="2">
        <f>_xlfn.IFNA(Table1[[#This Row],[annual_net_earnings_raw]], 0)</f>
        <v>18926</v>
      </c>
      <c r="I27" s="11"/>
    </row>
    <row r="28" spans="1:9" x14ac:dyDescent="0.25">
      <c r="A28" t="s">
        <v>22</v>
      </c>
      <c r="B28" t="s">
        <v>6</v>
      </c>
      <c r="C28">
        <v>110.7</v>
      </c>
      <c r="D28" s="3">
        <f>(100-Table1[[#This Row],[price_level_index]])/100</f>
        <v>-0.10700000000000003</v>
      </c>
      <c r="E28" s="2">
        <v>19473</v>
      </c>
      <c r="F28" s="9">
        <f>Table1[[#This Row],[annual_net_earnings_raw]]+(Table1[[#This Row],[annual_net_earnings_raw]]*Table1[[#This Row],[price_level_index_mean_deviance]])</f>
        <v>17389.388999999999</v>
      </c>
      <c r="G28" s="11">
        <f>IF(Table1[[#This Row],[date]]&lt;B27,"",(Table1[[#This Row],[european_earnings_index_raw]]-F27)/F27)</f>
        <v>3.2370248644335645E-2</v>
      </c>
      <c r="H28" s="2">
        <f>_xlfn.IFNA(Table1[[#This Row],[annual_net_earnings_raw]], 0)</f>
        <v>19473</v>
      </c>
      <c r="I28" s="11"/>
    </row>
    <row r="29" spans="1:9" x14ac:dyDescent="0.25">
      <c r="A29" t="s">
        <v>22</v>
      </c>
      <c r="B29" t="s">
        <v>7</v>
      </c>
      <c r="C29">
        <v>111.5</v>
      </c>
      <c r="D29" s="3">
        <f>(100-Table1[[#This Row],[price_level_index]])/100</f>
        <v>-0.115</v>
      </c>
      <c r="E29" s="2">
        <v>19909</v>
      </c>
      <c r="F29" s="9">
        <f>Table1[[#This Row],[annual_net_earnings_raw]]+(Table1[[#This Row],[annual_net_earnings_raw]]*Table1[[#This Row],[price_level_index_mean_deviance]])</f>
        <v>17619.465</v>
      </c>
      <c r="G29" s="11">
        <f>IF(Table1[[#This Row],[date]]&lt;B28,"",(Table1[[#This Row],[european_earnings_index_raw]]-F28)/F28)</f>
        <v>1.3230827144070499E-2</v>
      </c>
      <c r="H29" s="2">
        <f>_xlfn.IFNA(Table1[[#This Row],[annual_net_earnings_raw]], 0)</f>
        <v>19909</v>
      </c>
      <c r="I29" s="11"/>
    </row>
    <row r="30" spans="1:9" x14ac:dyDescent="0.25">
      <c r="A30" t="s">
        <v>22</v>
      </c>
      <c r="B30" t="s">
        <v>8</v>
      </c>
      <c r="C30">
        <v>113.6</v>
      </c>
      <c r="D30" s="3">
        <f>(100-Table1[[#This Row],[price_level_index]])/100</f>
        <v>-0.13599999999999995</v>
      </c>
      <c r="E30" s="2">
        <v>20280</v>
      </c>
      <c r="F30" s="9">
        <f>Table1[[#This Row],[annual_net_earnings_raw]]+(Table1[[#This Row],[annual_net_earnings_raw]]*Table1[[#This Row],[price_level_index_mean_deviance]])</f>
        <v>17521.920000000002</v>
      </c>
      <c r="G30" s="11">
        <f>IF(Table1[[#This Row],[date]]&lt;B29,"",(Table1[[#This Row],[european_earnings_index_raw]]-F29)/F29)</f>
        <v>-5.5362066895900787E-3</v>
      </c>
      <c r="H30" s="2">
        <f>_xlfn.IFNA(Table1[[#This Row],[annual_net_earnings_raw]], 0)</f>
        <v>20280</v>
      </c>
      <c r="I30" s="11"/>
    </row>
    <row r="31" spans="1:9" x14ac:dyDescent="0.25">
      <c r="A31" t="s">
        <v>22</v>
      </c>
      <c r="B31" t="s">
        <v>9</v>
      </c>
      <c r="C31">
        <v>114</v>
      </c>
      <c r="D31" s="3">
        <f>(100-Table1[[#This Row],[price_level_index]])/100</f>
        <v>-0.14000000000000001</v>
      </c>
      <c r="E31" s="2">
        <v>21117</v>
      </c>
      <c r="F31" s="9">
        <f>Table1[[#This Row],[annual_net_earnings_raw]]+(Table1[[#This Row],[annual_net_earnings_raw]]*Table1[[#This Row],[price_level_index_mean_deviance]])</f>
        <v>18160.62</v>
      </c>
      <c r="G31" s="11">
        <f>IF(Table1[[#This Row],[date]]&lt;B30,"",(Table1[[#This Row],[european_earnings_index_raw]]-F30)/F30)</f>
        <v>3.6451484768792293E-2</v>
      </c>
      <c r="H31" s="2">
        <f>_xlfn.IFNA(Table1[[#This Row],[annual_net_earnings_raw]], 0)</f>
        <v>21117</v>
      </c>
      <c r="I31" s="11"/>
    </row>
    <row r="32" spans="1:9" x14ac:dyDescent="0.25">
      <c r="A32" t="s">
        <v>22</v>
      </c>
      <c r="B32" t="s">
        <v>10</v>
      </c>
      <c r="C32">
        <v>115.2</v>
      </c>
      <c r="D32" s="3">
        <f>(100-Table1[[#This Row],[price_level_index]])/100</f>
        <v>-0.15200000000000002</v>
      </c>
      <c r="E32" s="2">
        <v>21769</v>
      </c>
      <c r="F32" s="9">
        <f>Table1[[#This Row],[annual_net_earnings_raw]]+(Table1[[#This Row],[annual_net_earnings_raw]]*Table1[[#This Row],[price_level_index_mean_deviance]])</f>
        <v>18460.112000000001</v>
      </c>
      <c r="G32" s="11">
        <f>IF(Table1[[#This Row],[date]]&lt;B31,"",(Table1[[#This Row],[european_earnings_index_raw]]-F31)/F31)</f>
        <v>1.6491287191736956E-2</v>
      </c>
      <c r="H32" s="2">
        <f>_xlfn.IFNA(Table1[[#This Row],[annual_net_earnings_raw]], 0)</f>
        <v>21769</v>
      </c>
      <c r="I32" s="11"/>
    </row>
    <row r="33" spans="1:9" x14ac:dyDescent="0.25">
      <c r="A33" t="s">
        <v>22</v>
      </c>
      <c r="B33" t="s">
        <v>11</v>
      </c>
      <c r="C33">
        <v>114.2</v>
      </c>
      <c r="D33" s="3">
        <f>(100-Table1[[#This Row],[price_level_index]])/100</f>
        <v>-0.14200000000000002</v>
      </c>
      <c r="E33" s="2">
        <v>22338</v>
      </c>
      <c r="F33" s="9">
        <f>Table1[[#This Row],[annual_net_earnings_raw]]+(Table1[[#This Row],[annual_net_earnings_raw]]*Table1[[#This Row],[price_level_index_mean_deviance]])</f>
        <v>19166.004000000001</v>
      </c>
      <c r="G33" s="11">
        <f>IF(Table1[[#This Row],[date]]&lt;B32,"",(Table1[[#This Row],[european_earnings_index_raw]]-F32)/F32)</f>
        <v>3.8238771249058501E-2</v>
      </c>
      <c r="H33" s="2">
        <f>_xlfn.IFNA(Table1[[#This Row],[annual_net_earnings_raw]], 0)</f>
        <v>22338</v>
      </c>
      <c r="I33" s="11"/>
    </row>
    <row r="34" spans="1:9" x14ac:dyDescent="0.25">
      <c r="A34" t="s">
        <v>22</v>
      </c>
      <c r="B34" t="s">
        <v>12</v>
      </c>
      <c r="C34">
        <v>114.6</v>
      </c>
      <c r="D34" s="3">
        <f>(100-Table1[[#This Row],[price_level_index]])/100</f>
        <v>-0.14599999999999994</v>
      </c>
      <c r="E34" s="2">
        <v>22940</v>
      </c>
      <c r="F34" s="9">
        <f>Table1[[#This Row],[annual_net_earnings_raw]]+(Table1[[#This Row],[annual_net_earnings_raw]]*Table1[[#This Row],[price_level_index_mean_deviance]])</f>
        <v>19590.760000000002</v>
      </c>
      <c r="G34" s="11">
        <f>IF(Table1[[#This Row],[date]]&lt;B33,"",(Table1[[#This Row],[european_earnings_index_raw]]-F33)/F33)</f>
        <v>2.2161948833987574E-2</v>
      </c>
      <c r="H34" s="2">
        <f>_xlfn.IFNA(Table1[[#This Row],[annual_net_earnings_raw]], 0)</f>
        <v>22940</v>
      </c>
      <c r="I34" s="11"/>
    </row>
    <row r="35" spans="1:9" x14ac:dyDescent="0.25">
      <c r="A35" t="s">
        <v>22</v>
      </c>
      <c r="B35" t="s">
        <v>13</v>
      </c>
      <c r="C35">
        <v>115.2</v>
      </c>
      <c r="D35" s="3">
        <f>(100-Table1[[#This Row],[price_level_index]])/100</f>
        <v>-0.15200000000000002</v>
      </c>
      <c r="E35" s="2">
        <v>23572</v>
      </c>
      <c r="F35" s="9">
        <f>Table1[[#This Row],[annual_net_earnings_raw]]+(Table1[[#This Row],[annual_net_earnings_raw]]*Table1[[#This Row],[price_level_index_mean_deviance]])</f>
        <v>19989.056</v>
      </c>
      <c r="G35" s="11">
        <f>IF(Table1[[#This Row],[date]]&lt;B34,"",(Table1[[#This Row],[european_earnings_index_raw]]-F34)/F34)</f>
        <v>2.0330809014045315E-2</v>
      </c>
      <c r="H35" s="2">
        <f>_xlfn.IFNA(Table1[[#This Row],[annual_net_earnings_raw]], 0)</f>
        <v>23572</v>
      </c>
      <c r="I35" s="11"/>
    </row>
    <row r="36" spans="1:9" x14ac:dyDescent="0.25">
      <c r="A36" t="s">
        <v>22</v>
      </c>
      <c r="B36" t="s">
        <v>14</v>
      </c>
      <c r="C36">
        <v>114.3</v>
      </c>
      <c r="D36" s="3">
        <f>(100-Table1[[#This Row],[price_level_index]])/100</f>
        <v>-0.14299999999999996</v>
      </c>
      <c r="E36" s="2">
        <v>23787</v>
      </c>
      <c r="F36" s="9">
        <f>Table1[[#This Row],[annual_net_earnings_raw]]+(Table1[[#This Row],[annual_net_earnings_raw]]*Table1[[#This Row],[price_level_index_mean_deviance]])</f>
        <v>20385.459000000003</v>
      </c>
      <c r="G36" s="11">
        <f>IF(Table1[[#This Row],[date]]&lt;B35,"",(Table1[[#This Row],[european_earnings_index_raw]]-F35)/F35)</f>
        <v>1.9831001524034053E-2</v>
      </c>
      <c r="H36" s="2">
        <f>_xlfn.IFNA(Table1[[#This Row],[annual_net_earnings_raw]], 0)</f>
        <v>23787</v>
      </c>
      <c r="I36" s="11"/>
    </row>
    <row r="37" spans="1:9" x14ac:dyDescent="0.25">
      <c r="A37" t="s">
        <v>22</v>
      </c>
      <c r="B37" t="s">
        <v>15</v>
      </c>
      <c r="C37">
        <v>113.5</v>
      </c>
      <c r="D37" s="3">
        <f>(100-Table1[[#This Row],[price_level_index]])/100</f>
        <v>-0.13500000000000001</v>
      </c>
      <c r="E37" s="2">
        <v>24071</v>
      </c>
      <c r="F37" s="9">
        <f>Table1[[#This Row],[annual_net_earnings_raw]]+(Table1[[#This Row],[annual_net_earnings_raw]]*Table1[[#This Row],[price_level_index_mean_deviance]])</f>
        <v>20821.415000000001</v>
      </c>
      <c r="G37" s="11">
        <f>IF(Table1[[#This Row],[date]]&lt;B36,"",(Table1[[#This Row],[european_earnings_index_raw]]-F36)/F36)</f>
        <v>2.1385635712200458E-2</v>
      </c>
      <c r="H37" s="2">
        <f>_xlfn.IFNA(Table1[[#This Row],[annual_net_earnings_raw]], 0)</f>
        <v>24071</v>
      </c>
      <c r="I37" s="11"/>
    </row>
    <row r="38" spans="1:9" x14ac:dyDescent="0.25">
      <c r="A38" t="s">
        <v>22</v>
      </c>
      <c r="B38" t="s">
        <v>16</v>
      </c>
      <c r="C38">
        <v>113.1</v>
      </c>
      <c r="D38" s="3">
        <f>(100-Table1[[#This Row],[price_level_index]])/100</f>
        <v>-0.13099999999999995</v>
      </c>
      <c r="E38" s="2">
        <v>24235</v>
      </c>
      <c r="F38" s="9">
        <f>Table1[[#This Row],[annual_net_earnings_raw]]+(Table1[[#This Row],[annual_net_earnings_raw]]*Table1[[#This Row],[price_level_index_mean_deviance]])</f>
        <v>21060.215</v>
      </c>
      <c r="G38" s="11">
        <f>IF(Table1[[#This Row],[date]]&lt;B37,"",(Table1[[#This Row],[european_earnings_index_raw]]-F37)/F37)</f>
        <v>1.1468961163302267E-2</v>
      </c>
      <c r="H38" s="2">
        <f>_xlfn.IFNA(Table1[[#This Row],[annual_net_earnings_raw]], 0)</f>
        <v>24235</v>
      </c>
      <c r="I38" s="11"/>
    </row>
    <row r="39" spans="1:9" x14ac:dyDescent="0.25">
      <c r="A39" t="s">
        <v>22</v>
      </c>
      <c r="B39" t="s">
        <v>17</v>
      </c>
      <c r="C39">
        <v>115.4</v>
      </c>
      <c r="D39" s="3">
        <f>(100-Table1[[#This Row],[price_level_index]])/100</f>
        <v>-0.15400000000000005</v>
      </c>
      <c r="E39" s="2">
        <v>24324</v>
      </c>
      <c r="F39" s="9">
        <f>Table1[[#This Row],[annual_net_earnings_raw]]+(Table1[[#This Row],[annual_net_earnings_raw]]*Table1[[#This Row],[price_level_index_mean_deviance]])</f>
        <v>20578.103999999999</v>
      </c>
      <c r="G39" s="11">
        <f>IF(Table1[[#This Row],[date]]&lt;B38,"",(Table1[[#This Row],[european_earnings_index_raw]]-F38)/F38)</f>
        <v>-2.2892026505902281E-2</v>
      </c>
      <c r="H39" s="2">
        <f>_xlfn.IFNA(Table1[[#This Row],[annual_net_earnings_raw]], 0)</f>
        <v>24324</v>
      </c>
      <c r="I39" s="11"/>
    </row>
    <row r="40" spans="1:9" x14ac:dyDescent="0.25">
      <c r="A40" t="s">
        <v>22</v>
      </c>
      <c r="B40" t="s">
        <v>18</v>
      </c>
      <c r="C40">
        <v>116.7</v>
      </c>
      <c r="D40" s="3">
        <f>(100-Table1[[#This Row],[price_level_index]])/100</f>
        <v>-0.16700000000000004</v>
      </c>
      <c r="E40" s="2">
        <v>24705</v>
      </c>
      <c r="F40" s="9">
        <f>Table1[[#This Row],[annual_net_earnings_raw]]+(Table1[[#This Row],[annual_net_earnings_raw]]*Table1[[#This Row],[price_level_index_mean_deviance]])</f>
        <v>20579.264999999999</v>
      </c>
      <c r="G40" s="11">
        <f>IF(Table1[[#This Row],[date]]&lt;B39,"",(Table1[[#This Row],[european_earnings_index_raw]]-F39)/F39)</f>
        <v>5.6419191972207848E-5</v>
      </c>
      <c r="H40" s="2">
        <f>_xlfn.IFNA(Table1[[#This Row],[annual_net_earnings_raw]], 0)</f>
        <v>24705</v>
      </c>
      <c r="I40" s="11"/>
    </row>
    <row r="41" spans="1:9" x14ac:dyDescent="0.25">
      <c r="A41" t="s">
        <v>22</v>
      </c>
      <c r="B41" t="s">
        <v>19</v>
      </c>
      <c r="C41">
        <v>117.2</v>
      </c>
      <c r="D41" s="3">
        <f>(100-Table1[[#This Row],[price_level_index]])/100</f>
        <v>-0.17200000000000004</v>
      </c>
      <c r="E41" s="2">
        <v>25495</v>
      </c>
      <c r="F41" s="9">
        <f>Table1[[#This Row],[annual_net_earnings_raw]]+(Table1[[#This Row],[annual_net_earnings_raw]]*Table1[[#This Row],[price_level_index_mean_deviance]])</f>
        <v>21109.86</v>
      </c>
      <c r="G41" s="11">
        <f>IF(Table1[[#This Row],[date]]&lt;B40,"",(Table1[[#This Row],[european_earnings_index_raw]]-F40)/F40)</f>
        <v>2.5782990791945251E-2</v>
      </c>
      <c r="H41" s="2">
        <f>_xlfn.IFNA(Table1[[#This Row],[annual_net_earnings_raw]], 0)</f>
        <v>25495</v>
      </c>
      <c r="I41" s="11"/>
    </row>
    <row r="42" spans="1:9" x14ac:dyDescent="0.25">
      <c r="A42" t="s">
        <v>22</v>
      </c>
      <c r="B42" t="s">
        <v>20</v>
      </c>
      <c r="C42">
        <v>117.2</v>
      </c>
      <c r="D42" s="3">
        <f>(100-Table1[[#This Row],[price_level_index]])/100</f>
        <v>-0.17200000000000004</v>
      </c>
      <c r="E42" s="2">
        <v>26263</v>
      </c>
      <c r="F42" s="9">
        <f>Table1[[#This Row],[annual_net_earnings_raw]]+(Table1[[#This Row],[annual_net_earnings_raw]]*Table1[[#This Row],[price_level_index_mean_deviance]])</f>
        <v>21745.763999999999</v>
      </c>
      <c r="G42" s="11">
        <f>IF(Table1[[#This Row],[date]]&lt;B41,"",(Table1[[#This Row],[european_earnings_index_raw]]-F41)/F41)</f>
        <v>3.0123553637968162E-2</v>
      </c>
      <c r="H42" s="2">
        <f>_xlfn.IFNA(Table1[[#This Row],[annual_net_earnings_raw]], 0)</f>
        <v>26263</v>
      </c>
      <c r="I42" s="11"/>
    </row>
    <row r="43" spans="1:9" x14ac:dyDescent="0.25">
      <c r="A43" t="s">
        <v>22</v>
      </c>
      <c r="B43" t="s">
        <v>21</v>
      </c>
      <c r="C43">
        <v>115.6</v>
      </c>
      <c r="D43" s="3">
        <f>(100-Table1[[#This Row],[price_level_index]])/100</f>
        <v>-0.15599999999999994</v>
      </c>
      <c r="E43" s="2">
        <v>26938</v>
      </c>
      <c r="F43" s="9">
        <f>Table1[[#This Row],[annual_net_earnings_raw]]+(Table1[[#This Row],[annual_net_earnings_raw]]*Table1[[#This Row],[price_level_index_mean_deviance]])</f>
        <v>22735.672000000002</v>
      </c>
      <c r="G43" s="11">
        <f>IF(Table1[[#This Row],[date]]&lt;B42,"",(Table1[[#This Row],[european_earnings_index_raw]]-F42)/F42)</f>
        <v>4.5521877272281769E-2</v>
      </c>
      <c r="H43" s="2">
        <f>_xlfn.IFNA(Table1[[#This Row],[annual_net_earnings_raw]], 0)</f>
        <v>26938</v>
      </c>
      <c r="I43" s="11"/>
    </row>
    <row r="44" spans="1:9" x14ac:dyDescent="0.25">
      <c r="A44" t="s">
        <v>23</v>
      </c>
      <c r="B44" t="s">
        <v>1</v>
      </c>
      <c r="C44">
        <v>33.700000000000003</v>
      </c>
      <c r="D44" s="3">
        <f>(100-Table1[[#This Row],[price_level_index]])/100</f>
        <v>0.66299999999999992</v>
      </c>
      <c r="E44" s="2">
        <v>0</v>
      </c>
      <c r="F44" s="9">
        <f>Table1[[#This Row],[annual_net_earnings_raw]]+(Table1[[#This Row],[annual_net_earnings_raw]]*Table1[[#This Row],[price_level_index_mean_deviance]])</f>
        <v>0</v>
      </c>
      <c r="G44" s="11" t="str">
        <f>IF(Table1[[#This Row],[date]]&lt;B43,"",(Table1[[#This Row],[european_earnings_index_raw]]-F43)/F43)</f>
        <v/>
      </c>
      <c r="H44" s="2">
        <f>_xlfn.IFNA(Table1[[#This Row],[annual_net_earnings_raw]], 0)</f>
        <v>0</v>
      </c>
      <c r="I44" s="11"/>
    </row>
    <row r="45" spans="1:9" x14ac:dyDescent="0.25">
      <c r="A45" t="s">
        <v>23</v>
      </c>
      <c r="B45" t="s">
        <v>2</v>
      </c>
      <c r="C45">
        <v>35.799999999999997</v>
      </c>
      <c r="D45" s="3">
        <f>(100-Table1[[#This Row],[price_level_index]])/100</f>
        <v>0.64200000000000002</v>
      </c>
      <c r="E45" s="2">
        <v>0</v>
      </c>
      <c r="F45" s="9">
        <f>Table1[[#This Row],[annual_net_earnings_raw]]+(Table1[[#This Row],[annual_net_earnings_raw]]*Table1[[#This Row],[price_level_index_mean_deviance]])</f>
        <v>0</v>
      </c>
      <c r="G45" s="11" t="e">
        <f>IF(Table1[[#This Row],[date]]&lt;B44,"",(Table1[[#This Row],[european_earnings_index_raw]]-F44)/F44)</f>
        <v>#DIV/0!</v>
      </c>
      <c r="H45" s="2">
        <f>_xlfn.IFNA(Table1[[#This Row],[annual_net_earnings_raw]], 0)</f>
        <v>0</v>
      </c>
      <c r="I45" s="11"/>
    </row>
    <row r="46" spans="1:9" x14ac:dyDescent="0.25">
      <c r="A46" t="s">
        <v>23</v>
      </c>
      <c r="B46" t="s">
        <v>3</v>
      </c>
      <c r="C46">
        <v>36.299999999999997</v>
      </c>
      <c r="D46" s="3">
        <f>(100-Table1[[#This Row],[price_level_index]])/100</f>
        <v>0.63700000000000001</v>
      </c>
      <c r="E46" s="2">
        <v>0</v>
      </c>
      <c r="F46" s="9">
        <f>Table1[[#This Row],[annual_net_earnings_raw]]+(Table1[[#This Row],[annual_net_earnings_raw]]*Table1[[#This Row],[price_level_index_mean_deviance]])</f>
        <v>0</v>
      </c>
      <c r="G46" s="11" t="e">
        <f>IF(Table1[[#This Row],[date]]&lt;B45,"",(Table1[[#This Row],[european_earnings_index_raw]]-F45)/F45)</f>
        <v>#DIV/0!</v>
      </c>
      <c r="H46" s="2">
        <f>_xlfn.IFNA(Table1[[#This Row],[annual_net_earnings_raw]], 0)</f>
        <v>0</v>
      </c>
      <c r="I46" s="11"/>
    </row>
    <row r="47" spans="1:9" x14ac:dyDescent="0.25">
      <c r="A47" t="s">
        <v>23</v>
      </c>
      <c r="B47" t="s">
        <v>4</v>
      </c>
      <c r="C47">
        <v>35.700000000000003</v>
      </c>
      <c r="D47" s="3">
        <f>(100-Table1[[#This Row],[price_level_index]])/100</f>
        <v>0.64300000000000002</v>
      </c>
      <c r="E47" s="2">
        <v>0</v>
      </c>
      <c r="F47" s="9">
        <f>Table1[[#This Row],[annual_net_earnings_raw]]+(Table1[[#This Row],[annual_net_earnings_raw]]*Table1[[#This Row],[price_level_index_mean_deviance]])</f>
        <v>0</v>
      </c>
      <c r="G47" s="11" t="e">
        <f>IF(Table1[[#This Row],[date]]&lt;B46,"",(Table1[[#This Row],[european_earnings_index_raw]]-F46)/F46)</f>
        <v>#DIV/0!</v>
      </c>
      <c r="H47" s="2">
        <f>_xlfn.IFNA(Table1[[#This Row],[annual_net_earnings_raw]], 0)</f>
        <v>0</v>
      </c>
      <c r="I47" s="11"/>
    </row>
    <row r="48" spans="1:9" x14ac:dyDescent="0.25">
      <c r="A48" t="s">
        <v>23</v>
      </c>
      <c r="B48" t="s">
        <v>5</v>
      </c>
      <c r="C48">
        <v>37.1</v>
      </c>
      <c r="D48" s="3">
        <f>(100-Table1[[#This Row],[price_level_index]])/100</f>
        <v>0.629</v>
      </c>
      <c r="E48" s="2">
        <v>0</v>
      </c>
      <c r="F48" s="9">
        <f>Table1[[#This Row],[annual_net_earnings_raw]]+(Table1[[#This Row],[annual_net_earnings_raw]]*Table1[[#This Row],[price_level_index_mean_deviance]])</f>
        <v>0</v>
      </c>
      <c r="G48" s="11" t="e">
        <f>IF(Table1[[#This Row],[date]]&lt;B47,"",(Table1[[#This Row],[european_earnings_index_raw]]-F47)/F47)</f>
        <v>#DIV/0!</v>
      </c>
      <c r="H48" s="2">
        <f>_xlfn.IFNA(Table1[[#This Row],[annual_net_earnings_raw]], 0)</f>
        <v>0</v>
      </c>
      <c r="I48" s="11"/>
    </row>
    <row r="49" spans="1:9" x14ac:dyDescent="0.25">
      <c r="A49" t="s">
        <v>23</v>
      </c>
      <c r="B49" t="s">
        <v>6</v>
      </c>
      <c r="C49">
        <v>38.299999999999997</v>
      </c>
      <c r="D49" s="3">
        <f>(100-Table1[[#This Row],[price_level_index]])/100</f>
        <v>0.61699999999999999</v>
      </c>
      <c r="E49" s="2">
        <v>0</v>
      </c>
      <c r="F49" s="9">
        <f>Table1[[#This Row],[annual_net_earnings_raw]]+(Table1[[#This Row],[annual_net_earnings_raw]]*Table1[[#This Row],[price_level_index_mean_deviance]])</f>
        <v>0</v>
      </c>
      <c r="G49" s="11" t="e">
        <f>IF(Table1[[#This Row],[date]]&lt;B48,"",(Table1[[#This Row],[european_earnings_index_raw]]-F48)/F48)</f>
        <v>#DIV/0!</v>
      </c>
      <c r="H49" s="2">
        <f>_xlfn.IFNA(Table1[[#This Row],[annual_net_earnings_raw]], 0)</f>
        <v>0</v>
      </c>
      <c r="I49" s="11"/>
    </row>
    <row r="50" spans="1:9" x14ac:dyDescent="0.25">
      <c r="A50" t="s">
        <v>23</v>
      </c>
      <c r="B50" t="s">
        <v>7</v>
      </c>
      <c r="C50">
        <v>41</v>
      </c>
      <c r="D50" s="3">
        <f>(100-Table1[[#This Row],[price_level_index]])/100</f>
        <v>0.59</v>
      </c>
      <c r="E50" s="2">
        <v>0</v>
      </c>
      <c r="F50" s="9">
        <f>Table1[[#This Row],[annual_net_earnings_raw]]+(Table1[[#This Row],[annual_net_earnings_raw]]*Table1[[#This Row],[price_level_index_mean_deviance]])</f>
        <v>0</v>
      </c>
      <c r="G50" s="11" t="e">
        <f>IF(Table1[[#This Row],[date]]&lt;B49,"",(Table1[[#This Row],[european_earnings_index_raw]]-F49)/F49)</f>
        <v>#DIV/0!</v>
      </c>
      <c r="H50" s="2">
        <f>_xlfn.IFNA(Table1[[#This Row],[annual_net_earnings_raw]], 0)</f>
        <v>0</v>
      </c>
      <c r="I50" s="11"/>
    </row>
    <row r="51" spans="1:9" x14ac:dyDescent="0.25">
      <c r="A51" t="s">
        <v>23</v>
      </c>
      <c r="B51" t="s">
        <v>8</v>
      </c>
      <c r="C51">
        <v>43.1</v>
      </c>
      <c r="D51" s="3">
        <f>(100-Table1[[#This Row],[price_level_index]])/100</f>
        <v>0.56899999999999995</v>
      </c>
      <c r="E51" s="2">
        <v>0</v>
      </c>
      <c r="F51" s="9">
        <f>Table1[[#This Row],[annual_net_earnings_raw]]+(Table1[[#This Row],[annual_net_earnings_raw]]*Table1[[#This Row],[price_level_index_mean_deviance]])</f>
        <v>0</v>
      </c>
      <c r="G51" s="11" t="e">
        <f>IF(Table1[[#This Row],[date]]&lt;B50,"",(Table1[[#This Row],[european_earnings_index_raw]]-F50)/F50)</f>
        <v>#DIV/0!</v>
      </c>
      <c r="H51" s="2">
        <f>_xlfn.IFNA(Table1[[#This Row],[annual_net_earnings_raw]], 0)</f>
        <v>0</v>
      </c>
      <c r="I51" s="11"/>
    </row>
    <row r="52" spans="1:9" x14ac:dyDescent="0.25">
      <c r="A52" t="s">
        <v>23</v>
      </c>
      <c r="B52" t="s">
        <v>9</v>
      </c>
      <c r="C52">
        <v>45.9</v>
      </c>
      <c r="D52" s="3">
        <f>(100-Table1[[#This Row],[price_level_index]])/100</f>
        <v>0.54100000000000004</v>
      </c>
      <c r="E52" s="2">
        <v>5073</v>
      </c>
      <c r="F52" s="9">
        <f>Table1[[#This Row],[annual_net_earnings_raw]]+(Table1[[#This Row],[annual_net_earnings_raw]]*Table1[[#This Row],[price_level_index_mean_deviance]])</f>
        <v>7817.4930000000004</v>
      </c>
      <c r="G52" s="11" t="e">
        <f>IF(Table1[[#This Row],[date]]&lt;B51,"",(Table1[[#This Row],[european_earnings_index_raw]]-F51)/F51)</f>
        <v>#DIV/0!</v>
      </c>
      <c r="H52" s="2">
        <f>_xlfn.IFNA(Table1[[#This Row],[annual_net_earnings_raw]], 0)</f>
        <v>5073</v>
      </c>
      <c r="I52" s="11"/>
    </row>
    <row r="53" spans="1:9" x14ac:dyDescent="0.25">
      <c r="A53" t="s">
        <v>23</v>
      </c>
      <c r="B53" t="s">
        <v>10</v>
      </c>
      <c r="C53">
        <v>47.7</v>
      </c>
      <c r="D53" s="3">
        <f>(100-Table1[[#This Row],[price_level_index]])/100</f>
        <v>0.52300000000000002</v>
      </c>
      <c r="E53" s="2">
        <v>5490</v>
      </c>
      <c r="F53" s="9">
        <f>Table1[[#This Row],[annual_net_earnings_raw]]+(Table1[[#This Row],[annual_net_earnings_raw]]*Table1[[#This Row],[price_level_index_mean_deviance]])</f>
        <v>8361.27</v>
      </c>
      <c r="G53" s="11">
        <f>IF(Table1[[#This Row],[date]]&lt;B52,"",(Table1[[#This Row],[european_earnings_index_raw]]-F52)/F52)</f>
        <v>6.9559000564503232E-2</v>
      </c>
      <c r="H53" s="2">
        <f>_xlfn.IFNA(Table1[[#This Row],[annual_net_earnings_raw]], 0)</f>
        <v>5490</v>
      </c>
      <c r="I53" s="11"/>
    </row>
    <row r="54" spans="1:9" x14ac:dyDescent="0.25">
      <c r="A54" t="s">
        <v>23</v>
      </c>
      <c r="B54" t="s">
        <v>11</v>
      </c>
      <c r="C54">
        <v>46.7</v>
      </c>
      <c r="D54" s="3">
        <f>(100-Table1[[#This Row],[price_level_index]])/100</f>
        <v>0.53299999999999992</v>
      </c>
      <c r="E54" s="2">
        <v>6038</v>
      </c>
      <c r="F54" s="9">
        <f>Table1[[#This Row],[annual_net_earnings_raw]]+(Table1[[#This Row],[annual_net_earnings_raw]]*Table1[[#This Row],[price_level_index_mean_deviance]])</f>
        <v>9256.253999999999</v>
      </c>
      <c r="G54" s="11">
        <f>IF(Table1[[#This Row],[date]]&lt;B53,"",(Table1[[#This Row],[european_earnings_index_raw]]-F53)/F53)</f>
        <v>0.10703924164630475</v>
      </c>
      <c r="H54" s="2">
        <f>_xlfn.IFNA(Table1[[#This Row],[annual_net_earnings_raw]], 0)</f>
        <v>6038</v>
      </c>
      <c r="I54" s="11"/>
    </row>
    <row r="55" spans="1:9" x14ac:dyDescent="0.25">
      <c r="A55" t="s">
        <v>23</v>
      </c>
      <c r="B55" t="s">
        <v>12</v>
      </c>
      <c r="C55">
        <v>46.4</v>
      </c>
      <c r="D55" s="3">
        <f>(100-Table1[[#This Row],[price_level_index]])/100</f>
        <v>0.53600000000000003</v>
      </c>
      <c r="E55" s="2">
        <v>6524</v>
      </c>
      <c r="F55" s="9">
        <f>Table1[[#This Row],[annual_net_earnings_raw]]+(Table1[[#This Row],[annual_net_earnings_raw]]*Table1[[#This Row],[price_level_index_mean_deviance]])</f>
        <v>10020.864</v>
      </c>
      <c r="G55" s="11">
        <f>IF(Table1[[#This Row],[date]]&lt;B54,"",(Table1[[#This Row],[european_earnings_index_raw]]-F54)/F54)</f>
        <v>8.2604690839296405E-2</v>
      </c>
      <c r="H55" s="2">
        <f>_xlfn.IFNA(Table1[[#This Row],[annual_net_earnings_raw]], 0)</f>
        <v>6524</v>
      </c>
      <c r="I55" s="11"/>
    </row>
    <row r="56" spans="1:9" x14ac:dyDescent="0.25">
      <c r="A56" t="s">
        <v>23</v>
      </c>
      <c r="B56" t="s">
        <v>13</v>
      </c>
      <c r="C56">
        <v>46.5</v>
      </c>
      <c r="D56" s="3">
        <f>(100-Table1[[#This Row],[price_level_index]])/100</f>
        <v>0.53500000000000003</v>
      </c>
      <c r="E56" s="2">
        <v>6943</v>
      </c>
      <c r="F56" s="9">
        <f>Table1[[#This Row],[annual_net_earnings_raw]]+(Table1[[#This Row],[annual_net_earnings_raw]]*Table1[[#This Row],[price_level_index_mean_deviance]])</f>
        <v>10657.505000000001</v>
      </c>
      <c r="G56" s="11">
        <f>IF(Table1[[#This Row],[date]]&lt;B55,"",(Table1[[#This Row],[european_earnings_index_raw]]-F55)/F55)</f>
        <v>6.3531547778714642E-2</v>
      </c>
      <c r="H56" s="2">
        <f>_xlfn.IFNA(Table1[[#This Row],[annual_net_earnings_raw]], 0)</f>
        <v>6943</v>
      </c>
      <c r="I56" s="11"/>
    </row>
    <row r="57" spans="1:9" x14ac:dyDescent="0.25">
      <c r="A57" t="s">
        <v>23</v>
      </c>
      <c r="B57" t="s">
        <v>14</v>
      </c>
      <c r="C57">
        <v>45.5</v>
      </c>
      <c r="D57" s="3">
        <f>(100-Table1[[#This Row],[price_level_index]])/100</f>
        <v>0.54500000000000004</v>
      </c>
      <c r="E57" s="2">
        <v>7471</v>
      </c>
      <c r="F57" s="9">
        <f>Table1[[#This Row],[annual_net_earnings_raw]]+(Table1[[#This Row],[annual_net_earnings_raw]]*Table1[[#This Row],[price_level_index_mean_deviance]])</f>
        <v>11542.695</v>
      </c>
      <c r="G57" s="11">
        <f>IF(Table1[[#This Row],[date]]&lt;B56,"",(Table1[[#This Row],[european_earnings_index_raw]]-F56)/F56)</f>
        <v>8.3057901450667729E-2</v>
      </c>
      <c r="H57" s="2">
        <f>_xlfn.IFNA(Table1[[#This Row],[annual_net_earnings_raw]], 0)</f>
        <v>7471</v>
      </c>
      <c r="I57" s="11"/>
    </row>
    <row r="58" spans="1:9" x14ac:dyDescent="0.25">
      <c r="A58" t="s">
        <v>23</v>
      </c>
      <c r="B58" t="s">
        <v>15</v>
      </c>
      <c r="C58">
        <v>44.4</v>
      </c>
      <c r="D58" s="3">
        <f>(100-Table1[[#This Row],[price_level_index]])/100</f>
        <v>0.55600000000000005</v>
      </c>
      <c r="E58" s="2">
        <v>8173</v>
      </c>
      <c r="F58" s="9">
        <f>Table1[[#This Row],[annual_net_earnings_raw]]+(Table1[[#This Row],[annual_net_earnings_raw]]*Table1[[#This Row],[price_level_index_mean_deviance]])</f>
        <v>12717.188</v>
      </c>
      <c r="G58" s="11">
        <f>IF(Table1[[#This Row],[date]]&lt;B57,"",(Table1[[#This Row],[european_earnings_index_raw]]-F57)/F57)</f>
        <v>0.10175206050233507</v>
      </c>
      <c r="H58" s="2">
        <f>_xlfn.IFNA(Table1[[#This Row],[annual_net_earnings_raw]], 0)</f>
        <v>8173</v>
      </c>
      <c r="I58" s="11"/>
    </row>
    <row r="59" spans="1:9" x14ac:dyDescent="0.25">
      <c r="A59" t="s">
        <v>23</v>
      </c>
      <c r="B59" t="s">
        <v>16</v>
      </c>
      <c r="C59">
        <v>44.8</v>
      </c>
      <c r="D59" s="3">
        <f>(100-Table1[[#This Row],[price_level_index]])/100</f>
        <v>0.55200000000000005</v>
      </c>
      <c r="E59" s="2">
        <v>8724</v>
      </c>
      <c r="F59" s="9">
        <f>Table1[[#This Row],[annual_net_earnings_raw]]+(Table1[[#This Row],[annual_net_earnings_raw]]*Table1[[#This Row],[price_level_index_mean_deviance]])</f>
        <v>13539.648000000001</v>
      </c>
      <c r="G59" s="11">
        <f>IF(Table1[[#This Row],[date]]&lt;B58,"",(Table1[[#This Row],[european_earnings_index_raw]]-F58)/F58)</f>
        <v>6.4673102261286142E-2</v>
      </c>
      <c r="H59" s="2">
        <f>_xlfn.IFNA(Table1[[#This Row],[annual_net_earnings_raw]], 0)</f>
        <v>8724</v>
      </c>
      <c r="I59" s="11"/>
    </row>
    <row r="60" spans="1:9" x14ac:dyDescent="0.25">
      <c r="A60" t="s">
        <v>23</v>
      </c>
      <c r="B60" t="s">
        <v>17</v>
      </c>
      <c r="C60">
        <v>45.1</v>
      </c>
      <c r="D60" s="3">
        <f>(100-Table1[[#This Row],[price_level_index]])/100</f>
        <v>0.54899999999999993</v>
      </c>
      <c r="E60" s="2">
        <v>9438</v>
      </c>
      <c r="F60" s="9">
        <f>Table1[[#This Row],[annual_net_earnings_raw]]+(Table1[[#This Row],[annual_net_earnings_raw]]*Table1[[#This Row],[price_level_index_mean_deviance]])</f>
        <v>14619.462</v>
      </c>
      <c r="G60" s="11">
        <f>IF(Table1[[#This Row],[date]]&lt;B59,"",(Table1[[#This Row],[european_earnings_index_raw]]-F59)/F59)</f>
        <v>7.9751999461138021E-2</v>
      </c>
      <c r="H60" s="2">
        <f>_xlfn.IFNA(Table1[[#This Row],[annual_net_earnings_raw]], 0)</f>
        <v>9438</v>
      </c>
      <c r="I60" s="11"/>
    </row>
    <row r="61" spans="1:9" x14ac:dyDescent="0.25">
      <c r="A61" t="s">
        <v>23</v>
      </c>
      <c r="B61" t="s">
        <v>18</v>
      </c>
      <c r="C61">
        <v>46.7</v>
      </c>
      <c r="D61" s="3">
        <f>(100-Table1[[#This Row],[price_level_index]])/100</f>
        <v>0.53299999999999992</v>
      </c>
      <c r="E61" s="2">
        <v>10023</v>
      </c>
      <c r="F61" s="9">
        <f>Table1[[#This Row],[annual_net_earnings_raw]]+(Table1[[#This Row],[annual_net_earnings_raw]]*Table1[[#This Row],[price_level_index_mean_deviance]])</f>
        <v>15365.258999999998</v>
      </c>
      <c r="G61" s="11">
        <f>IF(Table1[[#This Row],[date]]&lt;B60,"",(Table1[[#This Row],[european_earnings_index_raw]]-F60)/F60)</f>
        <v>5.1013983961926829E-2</v>
      </c>
      <c r="H61" s="2">
        <f>_xlfn.IFNA(Table1[[#This Row],[annual_net_earnings_raw]], 0)</f>
        <v>10023</v>
      </c>
      <c r="I61" s="11"/>
    </row>
    <row r="62" spans="1:9" x14ac:dyDescent="0.25">
      <c r="A62" t="s">
        <v>23</v>
      </c>
      <c r="B62" t="s">
        <v>19</v>
      </c>
      <c r="C62">
        <v>47.6</v>
      </c>
      <c r="D62" s="3">
        <f>(100-Table1[[#This Row],[price_level_index]])/100</f>
        <v>0.52400000000000002</v>
      </c>
      <c r="E62" s="2">
        <v>10500</v>
      </c>
      <c r="F62" s="9">
        <f>Table1[[#This Row],[annual_net_earnings_raw]]+(Table1[[#This Row],[annual_net_earnings_raw]]*Table1[[#This Row],[price_level_index_mean_deviance]])</f>
        <v>16002</v>
      </c>
      <c r="G62" s="11">
        <f>IF(Table1[[#This Row],[date]]&lt;B61,"",(Table1[[#This Row],[european_earnings_index_raw]]-F61)/F61)</f>
        <v>4.1440303739754852E-2</v>
      </c>
      <c r="H62" s="2">
        <f>_xlfn.IFNA(Table1[[#This Row],[annual_net_earnings_raw]], 0)</f>
        <v>10500</v>
      </c>
      <c r="I62" s="11"/>
    </row>
    <row r="63" spans="1:9" x14ac:dyDescent="0.25">
      <c r="A63" t="s">
        <v>23</v>
      </c>
      <c r="B63" t="s">
        <v>20</v>
      </c>
      <c r="C63">
        <v>49.5</v>
      </c>
      <c r="D63" s="3">
        <f>(100-Table1[[#This Row],[price_level_index]])/100</f>
        <v>0.505</v>
      </c>
      <c r="E63" s="2">
        <v>11366</v>
      </c>
      <c r="F63" s="9">
        <f>Table1[[#This Row],[annual_net_earnings_raw]]+(Table1[[#This Row],[annual_net_earnings_raw]]*Table1[[#This Row],[price_level_index_mean_deviance]])</f>
        <v>17105.830000000002</v>
      </c>
      <c r="G63" s="11">
        <f>IF(Table1[[#This Row],[date]]&lt;B62,"",(Table1[[#This Row],[european_earnings_index_raw]]-F62)/F62)</f>
        <v>6.8980752405949364E-2</v>
      </c>
      <c r="H63" s="2">
        <f>_xlfn.IFNA(Table1[[#This Row],[annual_net_earnings_raw]], 0)</f>
        <v>11366</v>
      </c>
      <c r="I63" s="11"/>
    </row>
    <row r="64" spans="1:9" x14ac:dyDescent="0.25">
      <c r="A64" t="s">
        <v>23</v>
      </c>
      <c r="B64" t="s">
        <v>21</v>
      </c>
      <c r="C64">
        <v>50.8</v>
      </c>
      <c r="D64" s="3">
        <f>(100-Table1[[#This Row],[price_level_index]])/100</f>
        <v>0.49200000000000005</v>
      </c>
      <c r="E64" s="2">
        <v>12048</v>
      </c>
      <c r="F64" s="9">
        <f>Table1[[#This Row],[annual_net_earnings_raw]]+(Table1[[#This Row],[annual_net_earnings_raw]]*Table1[[#This Row],[price_level_index_mean_deviance]])</f>
        <v>17975.616000000002</v>
      </c>
      <c r="G64" s="11">
        <f>IF(Table1[[#This Row],[date]]&lt;B63,"",(Table1[[#This Row],[european_earnings_index_raw]]-F63)/F63)</f>
        <v>5.084734268959764E-2</v>
      </c>
      <c r="H64" s="2">
        <f>_xlfn.IFNA(Table1[[#This Row],[annual_net_earnings_raw]], 0)</f>
        <v>12048</v>
      </c>
      <c r="I64" s="11"/>
    </row>
    <row r="65" spans="1:9" x14ac:dyDescent="0.25">
      <c r="A65" t="s">
        <v>24</v>
      </c>
      <c r="B65" t="s">
        <v>1</v>
      </c>
      <c r="C65">
        <v>61.8</v>
      </c>
      <c r="D65" s="3">
        <f>(100-Table1[[#This Row],[price_level_index]])/100</f>
        <v>0.38200000000000001</v>
      </c>
      <c r="E65" s="2">
        <v>0</v>
      </c>
      <c r="F65" s="9">
        <f>Table1[[#This Row],[annual_net_earnings_raw]]+(Table1[[#This Row],[annual_net_earnings_raw]]*Table1[[#This Row],[price_level_index_mean_deviance]])</f>
        <v>0</v>
      </c>
      <c r="G65" s="11" t="str">
        <f>IF(Table1[[#This Row],[date]]&lt;B64,"",(Table1[[#This Row],[european_earnings_index_raw]]-F64)/F64)</f>
        <v/>
      </c>
      <c r="H65" s="2">
        <f>_xlfn.IFNA(Table1[[#This Row],[annual_net_earnings_raw]], 0)</f>
        <v>0</v>
      </c>
      <c r="I65" s="11"/>
    </row>
    <row r="66" spans="1:9" x14ac:dyDescent="0.25">
      <c r="A66" t="s">
        <v>24</v>
      </c>
      <c r="B66" t="s">
        <v>2</v>
      </c>
      <c r="C66">
        <v>64.8</v>
      </c>
      <c r="D66" s="3">
        <f>(100-Table1[[#This Row],[price_level_index]])/100</f>
        <v>0.35200000000000004</v>
      </c>
      <c r="E66" s="2">
        <v>0</v>
      </c>
      <c r="F66" s="9">
        <f>Table1[[#This Row],[annual_net_earnings_raw]]+(Table1[[#This Row],[annual_net_earnings_raw]]*Table1[[#This Row],[price_level_index_mean_deviance]])</f>
        <v>0</v>
      </c>
      <c r="G66" s="11" t="e">
        <f>IF(Table1[[#This Row],[date]]&lt;B65,"",(Table1[[#This Row],[european_earnings_index_raw]]-F65)/F65)</f>
        <v>#DIV/0!</v>
      </c>
      <c r="H66" s="2">
        <f>_xlfn.IFNA(Table1[[#This Row],[annual_net_earnings_raw]], 0)</f>
        <v>0</v>
      </c>
      <c r="I66" s="11"/>
    </row>
    <row r="67" spans="1:9" x14ac:dyDescent="0.25">
      <c r="A67" t="s">
        <v>24</v>
      </c>
      <c r="B67" t="s">
        <v>3</v>
      </c>
      <c r="C67">
        <v>65.400000000000006</v>
      </c>
      <c r="D67" s="3">
        <f>(100-Table1[[#This Row],[price_level_index]])/100</f>
        <v>0.34599999999999992</v>
      </c>
      <c r="E67" s="2">
        <v>0</v>
      </c>
      <c r="F67" s="9">
        <f>Table1[[#This Row],[annual_net_earnings_raw]]+(Table1[[#This Row],[annual_net_earnings_raw]]*Table1[[#This Row],[price_level_index_mean_deviance]])</f>
        <v>0</v>
      </c>
      <c r="G67" s="11" t="e">
        <f>IF(Table1[[#This Row],[date]]&lt;B66,"",(Table1[[#This Row],[european_earnings_index_raw]]-F66)/F66)</f>
        <v>#DIV/0!</v>
      </c>
      <c r="H67" s="2">
        <f>_xlfn.IFNA(Table1[[#This Row],[annual_net_earnings_raw]], 0)</f>
        <v>0</v>
      </c>
      <c r="I67" s="11"/>
    </row>
    <row r="68" spans="1:9" x14ac:dyDescent="0.25">
      <c r="A68" t="s">
        <v>24</v>
      </c>
      <c r="B68" t="s">
        <v>4</v>
      </c>
      <c r="C68">
        <v>64.8</v>
      </c>
      <c r="D68" s="3">
        <f>(100-Table1[[#This Row],[price_level_index]])/100</f>
        <v>0.35200000000000004</v>
      </c>
      <c r="E68" s="2">
        <v>0</v>
      </c>
      <c r="F68" s="9">
        <f>Table1[[#This Row],[annual_net_earnings_raw]]+(Table1[[#This Row],[annual_net_earnings_raw]]*Table1[[#This Row],[price_level_index_mean_deviance]])</f>
        <v>0</v>
      </c>
      <c r="G68" s="11" t="e">
        <f>IF(Table1[[#This Row],[date]]&lt;B67,"",(Table1[[#This Row],[european_earnings_index_raw]]-F67)/F67)</f>
        <v>#DIV/0!</v>
      </c>
      <c r="H68" s="2">
        <f>_xlfn.IFNA(Table1[[#This Row],[annual_net_earnings_raw]], 0)</f>
        <v>0</v>
      </c>
      <c r="I68" s="11"/>
    </row>
    <row r="69" spans="1:9" x14ac:dyDescent="0.25">
      <c r="A69" t="s">
        <v>24</v>
      </c>
      <c r="B69" t="s">
        <v>5</v>
      </c>
      <c r="C69">
        <v>66.8</v>
      </c>
      <c r="D69" s="3">
        <f>(100-Table1[[#This Row],[price_level_index]])/100</f>
        <v>0.33200000000000002</v>
      </c>
      <c r="E69" s="2">
        <v>0</v>
      </c>
      <c r="F69" s="9">
        <f>Table1[[#This Row],[annual_net_earnings_raw]]+(Table1[[#This Row],[annual_net_earnings_raw]]*Table1[[#This Row],[price_level_index_mean_deviance]])</f>
        <v>0</v>
      </c>
      <c r="G69" s="11" t="e">
        <f>IF(Table1[[#This Row],[date]]&lt;B68,"",(Table1[[#This Row],[european_earnings_index_raw]]-F68)/F68)</f>
        <v>#DIV/0!</v>
      </c>
      <c r="H69" s="2">
        <f>_xlfn.IFNA(Table1[[#This Row],[annual_net_earnings_raw]], 0)</f>
        <v>0</v>
      </c>
      <c r="I69" s="11"/>
    </row>
    <row r="70" spans="1:9" x14ac:dyDescent="0.25">
      <c r="A70" t="s">
        <v>24</v>
      </c>
      <c r="B70" t="s">
        <v>6</v>
      </c>
      <c r="C70">
        <v>69.5</v>
      </c>
      <c r="D70" s="3">
        <f>(100-Table1[[#This Row],[price_level_index]])/100</f>
        <v>0.30499999999999999</v>
      </c>
      <c r="E70" s="2">
        <v>0</v>
      </c>
      <c r="F70" s="9">
        <f>Table1[[#This Row],[annual_net_earnings_raw]]+(Table1[[#This Row],[annual_net_earnings_raw]]*Table1[[#This Row],[price_level_index_mean_deviance]])</f>
        <v>0</v>
      </c>
      <c r="G70" s="11" t="e">
        <f>IF(Table1[[#This Row],[date]]&lt;B69,"",(Table1[[#This Row],[european_earnings_index_raw]]-F69)/F69)</f>
        <v>#DIV/0!</v>
      </c>
      <c r="H70" s="2">
        <f>_xlfn.IFNA(Table1[[#This Row],[annual_net_earnings_raw]], 0)</f>
        <v>0</v>
      </c>
      <c r="I70" s="11"/>
    </row>
    <row r="71" spans="1:9" x14ac:dyDescent="0.25">
      <c r="A71" t="s">
        <v>24</v>
      </c>
      <c r="B71" t="s">
        <v>7</v>
      </c>
      <c r="C71">
        <v>69.900000000000006</v>
      </c>
      <c r="D71" s="3">
        <f>(100-Table1[[#This Row],[price_level_index]])/100</f>
        <v>0.30099999999999993</v>
      </c>
      <c r="E71" s="2">
        <v>0</v>
      </c>
      <c r="F71" s="9">
        <f>Table1[[#This Row],[annual_net_earnings_raw]]+(Table1[[#This Row],[annual_net_earnings_raw]]*Table1[[#This Row],[price_level_index_mean_deviance]])</f>
        <v>0</v>
      </c>
      <c r="G71" s="11" t="e">
        <f>IF(Table1[[#This Row],[date]]&lt;B70,"",(Table1[[#This Row],[european_earnings_index_raw]]-F70)/F70)</f>
        <v>#DIV/0!</v>
      </c>
      <c r="H71" s="2">
        <f>_xlfn.IFNA(Table1[[#This Row],[annual_net_earnings_raw]], 0)</f>
        <v>0</v>
      </c>
      <c r="I71" s="11"/>
    </row>
    <row r="72" spans="1:9" x14ac:dyDescent="0.25">
      <c r="A72" t="s">
        <v>24</v>
      </c>
      <c r="B72" t="s">
        <v>8</v>
      </c>
      <c r="C72">
        <v>69.5</v>
      </c>
      <c r="D72" s="3">
        <f>(100-Table1[[#This Row],[price_level_index]])/100</f>
        <v>0.30499999999999999</v>
      </c>
      <c r="E72" s="2">
        <v>0</v>
      </c>
      <c r="F72" s="9">
        <f>Table1[[#This Row],[annual_net_earnings_raw]]+(Table1[[#This Row],[annual_net_earnings_raw]]*Table1[[#This Row],[price_level_index_mean_deviance]])</f>
        <v>0</v>
      </c>
      <c r="G72" s="11" t="e">
        <f>IF(Table1[[#This Row],[date]]&lt;B71,"",(Table1[[#This Row],[european_earnings_index_raw]]-F71)/F71)</f>
        <v>#DIV/0!</v>
      </c>
      <c r="H72" s="2">
        <f>_xlfn.IFNA(Table1[[#This Row],[annual_net_earnings_raw]], 0)</f>
        <v>0</v>
      </c>
      <c r="I72" s="11"/>
    </row>
    <row r="73" spans="1:9" x14ac:dyDescent="0.25">
      <c r="A73" t="s">
        <v>24</v>
      </c>
      <c r="B73" t="s">
        <v>9</v>
      </c>
      <c r="C73">
        <v>71.099999999999994</v>
      </c>
      <c r="D73" s="3">
        <f>(100-Table1[[#This Row],[price_level_index]])/100</f>
        <v>0.28900000000000003</v>
      </c>
      <c r="E73" s="2">
        <v>0</v>
      </c>
      <c r="F73" s="9">
        <f>Table1[[#This Row],[annual_net_earnings_raw]]+(Table1[[#This Row],[annual_net_earnings_raw]]*Table1[[#This Row],[price_level_index_mean_deviance]])</f>
        <v>0</v>
      </c>
      <c r="G73" s="11" t="e">
        <f>IF(Table1[[#This Row],[date]]&lt;B72,"",(Table1[[#This Row],[european_earnings_index_raw]]-F72)/F72)</f>
        <v>#DIV/0!</v>
      </c>
      <c r="H73" s="2">
        <f>_xlfn.IFNA(Table1[[#This Row],[annual_net_earnings_raw]], 0)</f>
        <v>0</v>
      </c>
      <c r="I73" s="11"/>
    </row>
    <row r="74" spans="1:9" x14ac:dyDescent="0.25">
      <c r="A74" t="s">
        <v>24</v>
      </c>
      <c r="B74" t="s">
        <v>10</v>
      </c>
      <c r="C74">
        <v>71.099999999999994</v>
      </c>
      <c r="D74" s="3">
        <f>(100-Table1[[#This Row],[price_level_index]])/100</f>
        <v>0.28900000000000003</v>
      </c>
      <c r="E74" s="2">
        <v>0</v>
      </c>
      <c r="F74" s="9">
        <f>Table1[[#This Row],[annual_net_earnings_raw]]+(Table1[[#This Row],[annual_net_earnings_raw]]*Table1[[#This Row],[price_level_index_mean_deviance]])</f>
        <v>0</v>
      </c>
      <c r="G74" s="11" t="e">
        <f>IF(Table1[[#This Row],[date]]&lt;B73,"",(Table1[[#This Row],[european_earnings_index_raw]]-F73)/F73)</f>
        <v>#DIV/0!</v>
      </c>
      <c r="H74" s="2">
        <f>_xlfn.IFNA(Table1[[#This Row],[annual_net_earnings_raw]], 0)</f>
        <v>0</v>
      </c>
      <c r="I74" s="11"/>
    </row>
    <row r="75" spans="1:9" x14ac:dyDescent="0.25">
      <c r="A75" t="s">
        <v>24</v>
      </c>
      <c r="B75" t="s">
        <v>11</v>
      </c>
      <c r="C75">
        <v>71.5</v>
      </c>
      <c r="D75" s="3">
        <f>(100-Table1[[#This Row],[price_level_index]])/100</f>
        <v>0.28499999999999998</v>
      </c>
      <c r="E75" s="2">
        <v>0</v>
      </c>
      <c r="F75" s="9">
        <f>Table1[[#This Row],[annual_net_earnings_raw]]+(Table1[[#This Row],[annual_net_earnings_raw]]*Table1[[#This Row],[price_level_index_mean_deviance]])</f>
        <v>0</v>
      </c>
      <c r="G75" s="11" t="e">
        <f>IF(Table1[[#This Row],[date]]&lt;B74,"",(Table1[[#This Row],[european_earnings_index_raw]]-F74)/F74)</f>
        <v>#DIV/0!</v>
      </c>
      <c r="H75" s="2">
        <f>_xlfn.IFNA(Table1[[#This Row],[annual_net_earnings_raw]], 0)</f>
        <v>0</v>
      </c>
      <c r="I75" s="11"/>
    </row>
    <row r="76" spans="1:9" x14ac:dyDescent="0.25">
      <c r="A76" t="s">
        <v>24</v>
      </c>
      <c r="B76" t="s">
        <v>12</v>
      </c>
      <c r="C76">
        <v>69.5</v>
      </c>
      <c r="D76" s="3">
        <f>(100-Table1[[#This Row],[price_level_index]])/100</f>
        <v>0.30499999999999999</v>
      </c>
      <c r="E76" s="2">
        <v>0</v>
      </c>
      <c r="F76" s="9">
        <f>Table1[[#This Row],[annual_net_earnings_raw]]+(Table1[[#This Row],[annual_net_earnings_raw]]*Table1[[#This Row],[price_level_index_mean_deviance]])</f>
        <v>0</v>
      </c>
      <c r="G76" s="11" t="e">
        <f>IF(Table1[[#This Row],[date]]&lt;B75,"",(Table1[[#This Row],[european_earnings_index_raw]]-F75)/F75)</f>
        <v>#DIV/0!</v>
      </c>
      <c r="H76" s="2">
        <f>_xlfn.IFNA(Table1[[#This Row],[annual_net_earnings_raw]], 0)</f>
        <v>0</v>
      </c>
      <c r="I76" s="11"/>
    </row>
    <row r="77" spans="1:9" x14ac:dyDescent="0.25">
      <c r="A77" t="s">
        <v>24</v>
      </c>
      <c r="B77" t="s">
        <v>13</v>
      </c>
      <c r="C77">
        <v>67.7</v>
      </c>
      <c r="D77" s="3">
        <f>(100-Table1[[#This Row],[price_level_index]])/100</f>
        <v>0.32299999999999995</v>
      </c>
      <c r="E77" s="2">
        <v>0</v>
      </c>
      <c r="F77" s="9">
        <f>Table1[[#This Row],[annual_net_earnings_raw]]+(Table1[[#This Row],[annual_net_earnings_raw]]*Table1[[#This Row],[price_level_index_mean_deviance]])</f>
        <v>0</v>
      </c>
      <c r="G77" s="11" t="e">
        <f>IF(Table1[[#This Row],[date]]&lt;B76,"",(Table1[[#This Row],[european_earnings_index_raw]]-F76)/F76)</f>
        <v>#DIV/0!</v>
      </c>
      <c r="H77" s="2">
        <f>_xlfn.IFNA(Table1[[#This Row],[annual_net_earnings_raw]], 0)</f>
        <v>0</v>
      </c>
      <c r="I77" s="11"/>
    </row>
    <row r="78" spans="1:9" x14ac:dyDescent="0.25">
      <c r="A78" t="s">
        <v>24</v>
      </c>
      <c r="B78" t="s">
        <v>14</v>
      </c>
      <c r="C78">
        <v>66.400000000000006</v>
      </c>
      <c r="D78" s="3">
        <f>(100-Table1[[#This Row],[price_level_index]])/100</f>
        <v>0.33599999999999997</v>
      </c>
      <c r="E78" s="2">
        <v>11335</v>
      </c>
      <c r="F78" s="9">
        <f>Table1[[#This Row],[annual_net_earnings_raw]]+(Table1[[#This Row],[annual_net_earnings_raw]]*Table1[[#This Row],[price_level_index_mean_deviance]])</f>
        <v>15143.56</v>
      </c>
      <c r="G78" s="11" t="e">
        <f>IF(Table1[[#This Row],[date]]&lt;B77,"",(Table1[[#This Row],[european_earnings_index_raw]]-F77)/F77)</f>
        <v>#DIV/0!</v>
      </c>
      <c r="H78" s="2">
        <f>_xlfn.IFNA(Table1[[#This Row],[annual_net_earnings_raw]], 0)</f>
        <v>11335</v>
      </c>
      <c r="I78" s="11"/>
    </row>
    <row r="79" spans="1:9" x14ac:dyDescent="0.25">
      <c r="A79" t="s">
        <v>24</v>
      </c>
      <c r="B79" t="s">
        <v>15</v>
      </c>
      <c r="C79">
        <v>65.099999999999994</v>
      </c>
      <c r="D79" s="3">
        <f>(100-Table1[[#This Row],[price_level_index]])/100</f>
        <v>0.34900000000000003</v>
      </c>
      <c r="E79" s="2">
        <v>11639</v>
      </c>
      <c r="F79" s="9">
        <f>Table1[[#This Row],[annual_net_earnings_raw]]+(Table1[[#This Row],[annual_net_earnings_raw]]*Table1[[#This Row],[price_level_index_mean_deviance]])</f>
        <v>15701.011</v>
      </c>
      <c r="G79" s="11">
        <f>IF(Table1[[#This Row],[date]]&lt;B78,"",(Table1[[#This Row],[european_earnings_index_raw]]-F78)/F78)</f>
        <v>3.6811093296424416E-2</v>
      </c>
      <c r="H79" s="2">
        <f>_xlfn.IFNA(Table1[[#This Row],[annual_net_earnings_raw]], 0)</f>
        <v>11639</v>
      </c>
      <c r="I79" s="11"/>
    </row>
    <row r="80" spans="1:9" x14ac:dyDescent="0.25">
      <c r="A80" t="s">
        <v>24</v>
      </c>
      <c r="B80" t="s">
        <v>16</v>
      </c>
      <c r="C80">
        <v>64.5</v>
      </c>
      <c r="D80" s="3">
        <f>(100-Table1[[#This Row],[price_level_index]])/100</f>
        <v>0.35499999999999998</v>
      </c>
      <c r="E80" s="2">
        <v>12233</v>
      </c>
      <c r="F80" s="9">
        <f>Table1[[#This Row],[annual_net_earnings_raw]]+(Table1[[#This Row],[annual_net_earnings_raw]]*Table1[[#This Row],[price_level_index_mean_deviance]])</f>
        <v>16575.715</v>
      </c>
      <c r="G80" s="11">
        <f>IF(Table1[[#This Row],[date]]&lt;B79,"",(Table1[[#This Row],[european_earnings_index_raw]]-F79)/F79)</f>
        <v>5.5710043130343626E-2</v>
      </c>
      <c r="H80" s="2">
        <f>_xlfn.IFNA(Table1[[#This Row],[annual_net_earnings_raw]], 0)</f>
        <v>12233</v>
      </c>
      <c r="I80" s="11"/>
    </row>
    <row r="81" spans="1:9" x14ac:dyDescent="0.25">
      <c r="A81" t="s">
        <v>24</v>
      </c>
      <c r="B81" t="s">
        <v>17</v>
      </c>
      <c r="C81">
        <v>64.3</v>
      </c>
      <c r="D81" s="3">
        <f>(100-Table1[[#This Row],[price_level_index]])/100</f>
        <v>0.35700000000000004</v>
      </c>
      <c r="E81" s="2">
        <v>12318</v>
      </c>
      <c r="F81" s="9">
        <f>Table1[[#This Row],[annual_net_earnings_raw]]+(Table1[[#This Row],[annual_net_earnings_raw]]*Table1[[#This Row],[price_level_index_mean_deviance]])</f>
        <v>16715.526000000002</v>
      </c>
      <c r="G81" s="11">
        <f>IF(Table1[[#This Row],[date]]&lt;B80,"",(Table1[[#This Row],[european_earnings_index_raw]]-F80)/F80)</f>
        <v>8.4346889410201326E-3</v>
      </c>
      <c r="H81" s="2">
        <f>_xlfn.IFNA(Table1[[#This Row],[annual_net_earnings_raw]], 0)</f>
        <v>12318</v>
      </c>
      <c r="I81" s="11"/>
    </row>
    <row r="82" spans="1:9" x14ac:dyDescent="0.25">
      <c r="A82" t="s">
        <v>24</v>
      </c>
      <c r="B82" t="s">
        <v>18</v>
      </c>
      <c r="C82">
        <v>64.900000000000006</v>
      </c>
      <c r="D82" s="3">
        <f>(100-Table1[[#This Row],[price_level_index]])/100</f>
        <v>0.35099999999999992</v>
      </c>
      <c r="E82" s="2">
        <v>12691</v>
      </c>
      <c r="F82" s="9">
        <f>Table1[[#This Row],[annual_net_earnings_raw]]+(Table1[[#This Row],[annual_net_earnings_raw]]*Table1[[#This Row],[price_level_index_mean_deviance]])</f>
        <v>17145.540999999997</v>
      </c>
      <c r="G82" s="11">
        <f>IF(Table1[[#This Row],[date]]&lt;B81,"",(Table1[[#This Row],[european_earnings_index_raw]]-F81)/F81)</f>
        <v>2.5725484199539742E-2</v>
      </c>
      <c r="H82" s="2">
        <f>_xlfn.IFNA(Table1[[#This Row],[annual_net_earnings_raw]], 0)</f>
        <v>12691</v>
      </c>
      <c r="I82" s="11"/>
    </row>
    <row r="83" spans="1:9" x14ac:dyDescent="0.25">
      <c r="A83" t="s">
        <v>24</v>
      </c>
      <c r="B83" t="s">
        <v>19</v>
      </c>
      <c r="C83">
        <v>66.3</v>
      </c>
      <c r="D83" s="3">
        <f>(100-Table1[[#This Row],[price_level_index]])/100</f>
        <v>0.33700000000000002</v>
      </c>
      <c r="E83" s="2">
        <v>12978</v>
      </c>
      <c r="F83" s="9">
        <f>Table1[[#This Row],[annual_net_earnings_raw]]+(Table1[[#This Row],[annual_net_earnings_raw]]*Table1[[#This Row],[price_level_index_mean_deviance]])</f>
        <v>17351.585999999999</v>
      </c>
      <c r="G83" s="11">
        <f>IF(Table1[[#This Row],[date]]&lt;B82,"",(Table1[[#This Row],[european_earnings_index_raw]]-F82)/F82)</f>
        <v>1.2017410240948472E-2</v>
      </c>
      <c r="H83" s="2">
        <f>_xlfn.IFNA(Table1[[#This Row],[annual_net_earnings_raw]], 0)</f>
        <v>12978</v>
      </c>
      <c r="I83" s="11"/>
    </row>
    <row r="84" spans="1:9" x14ac:dyDescent="0.25">
      <c r="A84" t="s">
        <v>24</v>
      </c>
      <c r="B84" t="s">
        <v>20</v>
      </c>
      <c r="C84">
        <v>67</v>
      </c>
      <c r="D84" s="3">
        <f>(100-Table1[[#This Row],[price_level_index]])/100</f>
        <v>0.33</v>
      </c>
      <c r="E84" s="2">
        <v>13226</v>
      </c>
      <c r="F84" s="9">
        <f>Table1[[#This Row],[annual_net_earnings_raw]]+(Table1[[#This Row],[annual_net_earnings_raw]]*Table1[[#This Row],[price_level_index_mean_deviance]])</f>
        <v>17590.580000000002</v>
      </c>
      <c r="G84" s="11">
        <f>IF(Table1[[#This Row],[date]]&lt;B83,"",(Table1[[#This Row],[european_earnings_index_raw]]-F83)/F83)</f>
        <v>1.3773611242223186E-2</v>
      </c>
      <c r="H84" s="2">
        <f>_xlfn.IFNA(Table1[[#This Row],[annual_net_earnings_raw]], 0)</f>
        <v>13226</v>
      </c>
      <c r="I84" s="11"/>
    </row>
    <row r="85" spans="1:9" x14ac:dyDescent="0.25">
      <c r="A85" t="s">
        <v>24</v>
      </c>
      <c r="B85" t="s">
        <v>21</v>
      </c>
      <c r="C85">
        <v>66</v>
      </c>
      <c r="D85" s="3">
        <f>(100-Table1[[#This Row],[price_level_index]])/100</f>
        <v>0.34</v>
      </c>
      <c r="E85" s="2">
        <v>13902</v>
      </c>
      <c r="F85" s="9">
        <f>Table1[[#This Row],[annual_net_earnings_raw]]+(Table1[[#This Row],[annual_net_earnings_raw]]*Table1[[#This Row],[price_level_index_mean_deviance]])</f>
        <v>18628.68</v>
      </c>
      <c r="G85" s="11">
        <f>IF(Table1[[#This Row],[date]]&lt;B84,"",(Table1[[#This Row],[european_earnings_index_raw]]-F84)/F84)</f>
        <v>5.9014540737144454E-2</v>
      </c>
      <c r="H85" s="2">
        <f>_xlfn.IFNA(Table1[[#This Row],[annual_net_earnings_raw]], 0)</f>
        <v>13902</v>
      </c>
      <c r="I85" s="11"/>
    </row>
    <row r="86" spans="1:9" x14ac:dyDescent="0.25">
      <c r="A86" t="s">
        <v>25</v>
      </c>
      <c r="B86" t="s">
        <v>1</v>
      </c>
      <c r="C86">
        <v>90.7</v>
      </c>
      <c r="D86" s="3">
        <f>(100-Table1[[#This Row],[price_level_index]])/100</f>
        <v>9.2999999999999972E-2</v>
      </c>
      <c r="E86" s="2">
        <v>0</v>
      </c>
      <c r="F86" s="9">
        <f>Table1[[#This Row],[annual_net_earnings_raw]]+(Table1[[#This Row],[annual_net_earnings_raw]]*Table1[[#This Row],[price_level_index_mean_deviance]])</f>
        <v>0</v>
      </c>
      <c r="G86" s="11" t="str">
        <f>IF(Table1[[#This Row],[date]]&lt;B85,"",(Table1[[#This Row],[european_earnings_index_raw]]-F85)/F85)</f>
        <v/>
      </c>
      <c r="H86" s="2">
        <f>_xlfn.IFNA(Table1[[#This Row],[annual_net_earnings_raw]], 0)</f>
        <v>0</v>
      </c>
      <c r="I86" s="11"/>
    </row>
    <row r="87" spans="1:9" x14ac:dyDescent="0.25">
      <c r="A87" t="s">
        <v>25</v>
      </c>
      <c r="B87" t="s">
        <v>2</v>
      </c>
      <c r="C87">
        <v>91.4</v>
      </c>
      <c r="D87" s="3">
        <f>(100-Table1[[#This Row],[price_level_index]])/100</f>
        <v>8.5999999999999938E-2</v>
      </c>
      <c r="E87" s="2">
        <v>0</v>
      </c>
      <c r="F87" s="9">
        <f>Table1[[#This Row],[annual_net_earnings_raw]]+(Table1[[#This Row],[annual_net_earnings_raw]]*Table1[[#This Row],[price_level_index_mean_deviance]])</f>
        <v>0</v>
      </c>
      <c r="G87" s="11" t="e">
        <f>IF(Table1[[#This Row],[date]]&lt;B86,"",(Table1[[#This Row],[european_earnings_index_raw]]-F86)/F86)</f>
        <v>#DIV/0!</v>
      </c>
      <c r="H87" s="2">
        <f>_xlfn.IFNA(Table1[[#This Row],[annual_net_earnings_raw]], 0)</f>
        <v>0</v>
      </c>
      <c r="I87" s="11"/>
    </row>
    <row r="88" spans="1:9" x14ac:dyDescent="0.25">
      <c r="A88" t="s">
        <v>25</v>
      </c>
      <c r="B88" t="s">
        <v>3</v>
      </c>
      <c r="C88">
        <v>92.3</v>
      </c>
      <c r="D88" s="3">
        <f>(100-Table1[[#This Row],[price_level_index]])/100</f>
        <v>7.7000000000000027E-2</v>
      </c>
      <c r="E88" s="2">
        <v>0</v>
      </c>
      <c r="F88" s="9">
        <f>Table1[[#This Row],[annual_net_earnings_raw]]+(Table1[[#This Row],[annual_net_earnings_raw]]*Table1[[#This Row],[price_level_index_mean_deviance]])</f>
        <v>0</v>
      </c>
      <c r="G88" s="11" t="e">
        <f>IF(Table1[[#This Row],[date]]&lt;B87,"",(Table1[[#This Row],[european_earnings_index_raw]]-F87)/F87)</f>
        <v>#DIV/0!</v>
      </c>
      <c r="H88" s="2">
        <f>_xlfn.IFNA(Table1[[#This Row],[annual_net_earnings_raw]], 0)</f>
        <v>0</v>
      </c>
      <c r="I88" s="11"/>
    </row>
    <row r="89" spans="1:9" x14ac:dyDescent="0.25">
      <c r="A89" t="s">
        <v>25</v>
      </c>
      <c r="B89" t="s">
        <v>4</v>
      </c>
      <c r="C89">
        <v>92.5</v>
      </c>
      <c r="D89" s="3">
        <f>(100-Table1[[#This Row],[price_level_index]])/100</f>
        <v>7.4999999999999997E-2</v>
      </c>
      <c r="E89" s="2">
        <v>0</v>
      </c>
      <c r="F89" s="9">
        <f>Table1[[#This Row],[annual_net_earnings_raw]]+(Table1[[#This Row],[annual_net_earnings_raw]]*Table1[[#This Row],[price_level_index_mean_deviance]])</f>
        <v>0</v>
      </c>
      <c r="G89" s="11" t="e">
        <f>IF(Table1[[#This Row],[date]]&lt;B88,"",(Table1[[#This Row],[european_earnings_index_raw]]-F88)/F88)</f>
        <v>#DIV/0!</v>
      </c>
      <c r="H89" s="2">
        <f>_xlfn.IFNA(Table1[[#This Row],[annual_net_earnings_raw]], 0)</f>
        <v>0</v>
      </c>
      <c r="I89" s="11"/>
    </row>
    <row r="90" spans="1:9" x14ac:dyDescent="0.25">
      <c r="A90" t="s">
        <v>25</v>
      </c>
      <c r="B90" t="s">
        <v>5</v>
      </c>
      <c r="C90">
        <v>93.4</v>
      </c>
      <c r="D90" s="3">
        <f>(100-Table1[[#This Row],[price_level_index]])/100</f>
        <v>6.5999999999999948E-2</v>
      </c>
      <c r="E90" s="2">
        <v>0</v>
      </c>
      <c r="F90" s="9">
        <f>Table1[[#This Row],[annual_net_earnings_raw]]+(Table1[[#This Row],[annual_net_earnings_raw]]*Table1[[#This Row],[price_level_index_mean_deviance]])</f>
        <v>0</v>
      </c>
      <c r="G90" s="11" t="e">
        <f>IF(Table1[[#This Row],[date]]&lt;B89,"",(Table1[[#This Row],[european_earnings_index_raw]]-F89)/F89)</f>
        <v>#DIV/0!</v>
      </c>
      <c r="H90" s="2">
        <f>_xlfn.IFNA(Table1[[#This Row],[annual_net_earnings_raw]], 0)</f>
        <v>0</v>
      </c>
      <c r="I90" s="11"/>
    </row>
    <row r="91" spans="1:9" x14ac:dyDescent="0.25">
      <c r="A91" t="s">
        <v>25</v>
      </c>
      <c r="B91" t="s">
        <v>6</v>
      </c>
      <c r="C91">
        <v>93.4</v>
      </c>
      <c r="D91" s="3">
        <f>(100-Table1[[#This Row],[price_level_index]])/100</f>
        <v>6.5999999999999948E-2</v>
      </c>
      <c r="E91" s="2">
        <v>16787</v>
      </c>
      <c r="F91" s="9">
        <f>Table1[[#This Row],[annual_net_earnings_raw]]+(Table1[[#This Row],[annual_net_earnings_raw]]*Table1[[#This Row],[price_level_index_mean_deviance]])</f>
        <v>17894.941999999999</v>
      </c>
      <c r="G91" s="11" t="e">
        <f>IF(Table1[[#This Row],[date]]&lt;B90,"",(Table1[[#This Row],[european_earnings_index_raw]]-F90)/F90)</f>
        <v>#DIV/0!</v>
      </c>
      <c r="H91" s="2">
        <f>_xlfn.IFNA(Table1[[#This Row],[annual_net_earnings_raw]], 0)</f>
        <v>16787</v>
      </c>
      <c r="I91" s="11"/>
    </row>
    <row r="92" spans="1:9" x14ac:dyDescent="0.25">
      <c r="A92" t="s">
        <v>25</v>
      </c>
      <c r="B92" t="s">
        <v>7</v>
      </c>
      <c r="C92">
        <v>94.6</v>
      </c>
      <c r="D92" s="3">
        <f>(100-Table1[[#This Row],[price_level_index]])/100</f>
        <v>5.4000000000000055E-2</v>
      </c>
      <c r="E92" s="2">
        <v>17756</v>
      </c>
      <c r="F92" s="9">
        <f>Table1[[#This Row],[annual_net_earnings_raw]]+(Table1[[#This Row],[annual_net_earnings_raw]]*Table1[[#This Row],[price_level_index_mean_deviance]])</f>
        <v>18714.824000000001</v>
      </c>
      <c r="G92" s="11">
        <f>IF(Table1[[#This Row],[date]]&lt;B91,"",(Table1[[#This Row],[european_earnings_index_raw]]-F91)/F91)</f>
        <v>4.5816410022452236E-2</v>
      </c>
      <c r="H92" s="2">
        <f>_xlfn.IFNA(Table1[[#This Row],[annual_net_earnings_raw]], 0)</f>
        <v>17756</v>
      </c>
      <c r="I92" s="11"/>
    </row>
    <row r="93" spans="1:9" x14ac:dyDescent="0.25">
      <c r="A93" t="s">
        <v>25</v>
      </c>
      <c r="B93" t="s">
        <v>8</v>
      </c>
      <c r="C93">
        <v>90.6</v>
      </c>
      <c r="D93" s="3">
        <f>(100-Table1[[#This Row],[price_level_index]])/100</f>
        <v>9.4000000000000056E-2</v>
      </c>
      <c r="E93" s="2">
        <v>19320</v>
      </c>
      <c r="F93" s="9">
        <f>Table1[[#This Row],[annual_net_earnings_raw]]+(Table1[[#This Row],[annual_net_earnings_raw]]*Table1[[#This Row],[price_level_index_mean_deviance]])</f>
        <v>21136.080000000002</v>
      </c>
      <c r="G93" s="11">
        <f>IF(Table1[[#This Row],[date]]&lt;B92,"",(Table1[[#This Row],[european_earnings_index_raw]]-F92)/F92)</f>
        <v>0.12937637030409696</v>
      </c>
      <c r="H93" s="2">
        <f>_xlfn.IFNA(Table1[[#This Row],[annual_net_earnings_raw]], 0)</f>
        <v>19320</v>
      </c>
      <c r="I93" s="11"/>
    </row>
    <row r="94" spans="1:9" x14ac:dyDescent="0.25">
      <c r="A94" t="s">
        <v>25</v>
      </c>
      <c r="B94" t="s">
        <v>9</v>
      </c>
      <c r="C94">
        <v>91.4</v>
      </c>
      <c r="D94" s="3">
        <f>(100-Table1[[#This Row],[price_level_index]])/100</f>
        <v>8.5999999999999938E-2</v>
      </c>
      <c r="E94" s="2">
        <v>0</v>
      </c>
      <c r="F94" s="9">
        <f>Table1[[#This Row],[annual_net_earnings_raw]]+(Table1[[#This Row],[annual_net_earnings_raw]]*Table1[[#This Row],[price_level_index_mean_deviance]])</f>
        <v>0</v>
      </c>
      <c r="G94" s="11">
        <f>IF(Table1[[#This Row],[date]]&lt;B93,"",(Table1[[#This Row],[european_earnings_index_raw]]-F93)/F93)</f>
        <v>-1</v>
      </c>
      <c r="H94" s="2">
        <f>_xlfn.IFNA(Table1[[#This Row],[annual_net_earnings_raw]], 0)</f>
        <v>0</v>
      </c>
      <c r="I94" s="11"/>
    </row>
    <row r="95" spans="1:9" x14ac:dyDescent="0.25">
      <c r="A95" t="s">
        <v>25</v>
      </c>
      <c r="B95" t="s">
        <v>10</v>
      </c>
      <c r="C95">
        <v>93.2</v>
      </c>
      <c r="D95" s="3">
        <f>(100-Table1[[#This Row],[price_level_index]])/100</f>
        <v>6.7999999999999977E-2</v>
      </c>
      <c r="E95" s="2">
        <v>0</v>
      </c>
      <c r="F95" s="9">
        <f>Table1[[#This Row],[annual_net_earnings_raw]]+(Table1[[#This Row],[annual_net_earnings_raw]]*Table1[[#This Row],[price_level_index_mean_deviance]])</f>
        <v>0</v>
      </c>
      <c r="G95" s="11" t="e">
        <f>IF(Table1[[#This Row],[date]]&lt;B94,"",(Table1[[#This Row],[european_earnings_index_raw]]-F94)/F94)</f>
        <v>#DIV/0!</v>
      </c>
      <c r="H95" s="2">
        <f>_xlfn.IFNA(Table1[[#This Row],[annual_net_earnings_raw]], 0)</f>
        <v>0</v>
      </c>
      <c r="I95" s="11"/>
    </row>
    <row r="96" spans="1:9" x14ac:dyDescent="0.25">
      <c r="A96" t="s">
        <v>25</v>
      </c>
      <c r="B96" t="s">
        <v>11</v>
      </c>
      <c r="C96">
        <v>96.5</v>
      </c>
      <c r="D96" s="3">
        <f>(100-Table1[[#This Row],[price_level_index]])/100</f>
        <v>3.5000000000000003E-2</v>
      </c>
      <c r="E96" s="2">
        <v>0</v>
      </c>
      <c r="F96" s="9">
        <f>Table1[[#This Row],[annual_net_earnings_raw]]+(Table1[[#This Row],[annual_net_earnings_raw]]*Table1[[#This Row],[price_level_index_mean_deviance]])</f>
        <v>0</v>
      </c>
      <c r="G96" s="11" t="e">
        <f>IF(Table1[[#This Row],[date]]&lt;B95,"",(Table1[[#This Row],[european_earnings_index_raw]]-F95)/F95)</f>
        <v>#DIV/0!</v>
      </c>
      <c r="H96" s="2">
        <f>_xlfn.IFNA(Table1[[#This Row],[annual_net_earnings_raw]], 0)</f>
        <v>0</v>
      </c>
      <c r="I96" s="11"/>
    </row>
    <row r="97" spans="1:9" x14ac:dyDescent="0.25">
      <c r="A97" t="s">
        <v>25</v>
      </c>
      <c r="B97" t="s">
        <v>12</v>
      </c>
      <c r="C97">
        <v>97.7</v>
      </c>
      <c r="D97" s="3">
        <f>(100-Table1[[#This Row],[price_level_index]])/100</f>
        <v>2.2999999999999972E-2</v>
      </c>
      <c r="E97" s="2">
        <v>0</v>
      </c>
      <c r="F97" s="9">
        <f>Table1[[#This Row],[annual_net_earnings_raw]]+(Table1[[#This Row],[annual_net_earnings_raw]]*Table1[[#This Row],[price_level_index_mean_deviance]])</f>
        <v>0</v>
      </c>
      <c r="G97" s="11" t="e">
        <f>IF(Table1[[#This Row],[date]]&lt;B96,"",(Table1[[#This Row],[european_earnings_index_raw]]-F96)/F96)</f>
        <v>#DIV/0!</v>
      </c>
      <c r="H97" s="2">
        <f>_xlfn.IFNA(Table1[[#This Row],[annual_net_earnings_raw]], 0)</f>
        <v>0</v>
      </c>
      <c r="I97" s="11"/>
    </row>
    <row r="98" spans="1:9" x14ac:dyDescent="0.25">
      <c r="A98" t="s">
        <v>25</v>
      </c>
      <c r="B98" t="s">
        <v>13</v>
      </c>
      <c r="C98">
        <v>99.2</v>
      </c>
      <c r="D98" s="3">
        <f>(100-Table1[[#This Row],[price_level_index]])/100</f>
        <v>7.9999999999999724E-3</v>
      </c>
      <c r="E98" s="2">
        <v>0</v>
      </c>
      <c r="F98" s="9">
        <f>Table1[[#This Row],[annual_net_earnings_raw]]+(Table1[[#This Row],[annual_net_earnings_raw]]*Table1[[#This Row],[price_level_index_mean_deviance]])</f>
        <v>0</v>
      </c>
      <c r="G98" s="11" t="e">
        <f>IF(Table1[[#This Row],[date]]&lt;B97,"",(Table1[[#This Row],[european_earnings_index_raw]]-F97)/F97)</f>
        <v>#DIV/0!</v>
      </c>
      <c r="H98" s="2">
        <f>_xlfn.IFNA(Table1[[#This Row],[annual_net_earnings_raw]], 0)</f>
        <v>0</v>
      </c>
      <c r="I98" s="11"/>
    </row>
    <row r="99" spans="1:9" x14ac:dyDescent="0.25">
      <c r="A99" t="s">
        <v>25</v>
      </c>
      <c r="B99" t="s">
        <v>14</v>
      </c>
      <c r="C99">
        <v>98</v>
      </c>
      <c r="D99" s="3">
        <f>(100-Table1[[#This Row],[price_level_index]])/100</f>
        <v>0.02</v>
      </c>
      <c r="E99" s="2">
        <v>0</v>
      </c>
      <c r="F99" s="9">
        <f>Table1[[#This Row],[annual_net_earnings_raw]]+(Table1[[#This Row],[annual_net_earnings_raw]]*Table1[[#This Row],[price_level_index_mean_deviance]])</f>
        <v>0</v>
      </c>
      <c r="G99" s="11" t="e">
        <f>IF(Table1[[#This Row],[date]]&lt;B98,"",(Table1[[#This Row],[european_earnings_index_raw]]-F98)/F98)</f>
        <v>#DIV/0!</v>
      </c>
      <c r="H99" s="2">
        <f>_xlfn.IFNA(Table1[[#This Row],[annual_net_earnings_raw]], 0)</f>
        <v>0</v>
      </c>
      <c r="I99" s="11"/>
    </row>
    <row r="100" spans="1:9" x14ac:dyDescent="0.25">
      <c r="A100" t="s">
        <v>25</v>
      </c>
      <c r="B100" t="s">
        <v>15</v>
      </c>
      <c r="C100">
        <v>95.8</v>
      </c>
      <c r="D100" s="3">
        <f>(100-Table1[[#This Row],[price_level_index]])/100</f>
        <v>4.200000000000003E-2</v>
      </c>
      <c r="E100" s="2">
        <v>20149</v>
      </c>
      <c r="F100" s="9">
        <f>Table1[[#This Row],[annual_net_earnings_raw]]+(Table1[[#This Row],[annual_net_earnings_raw]]*Table1[[#This Row],[price_level_index_mean_deviance]])</f>
        <v>20995.258000000002</v>
      </c>
      <c r="G100" s="11" t="e">
        <f>IF(Table1[[#This Row],[date]]&lt;B99,"",(Table1[[#This Row],[european_earnings_index_raw]]-F99)/F99)</f>
        <v>#DIV/0!</v>
      </c>
      <c r="H100" s="2">
        <f>_xlfn.IFNA(Table1[[#This Row],[annual_net_earnings_raw]], 0)</f>
        <v>20149</v>
      </c>
      <c r="I100" s="11"/>
    </row>
    <row r="101" spans="1:9" x14ac:dyDescent="0.25">
      <c r="A101" t="s">
        <v>25</v>
      </c>
      <c r="B101" t="s">
        <v>16</v>
      </c>
      <c r="C101">
        <v>94.2</v>
      </c>
      <c r="D101" s="3">
        <f>(100-Table1[[#This Row],[price_level_index]])/100</f>
        <v>5.7999999999999968E-2</v>
      </c>
      <c r="E101" s="2">
        <v>0</v>
      </c>
      <c r="F101" s="9">
        <f>Table1[[#This Row],[annual_net_earnings_raw]]+(Table1[[#This Row],[annual_net_earnings_raw]]*Table1[[#This Row],[price_level_index_mean_deviance]])</f>
        <v>0</v>
      </c>
      <c r="G101" s="11">
        <f>IF(Table1[[#This Row],[date]]&lt;B100,"",(Table1[[#This Row],[european_earnings_index_raw]]-F100)/F100)</f>
        <v>-1</v>
      </c>
      <c r="H101" s="2">
        <f>_xlfn.IFNA(Table1[[#This Row],[annual_net_earnings_raw]], 0)</f>
        <v>0</v>
      </c>
      <c r="I101" s="11"/>
    </row>
    <row r="102" spans="1:9" x14ac:dyDescent="0.25">
      <c r="A102" t="s">
        <v>25</v>
      </c>
      <c r="B102" t="s">
        <v>17</v>
      </c>
      <c r="C102">
        <v>91.7</v>
      </c>
      <c r="D102" s="3">
        <f>(100-Table1[[#This Row],[price_level_index]])/100</f>
        <v>8.2999999999999977E-2</v>
      </c>
      <c r="E102" s="2">
        <v>0</v>
      </c>
      <c r="F102" s="9">
        <f>Table1[[#This Row],[annual_net_earnings_raw]]+(Table1[[#This Row],[annual_net_earnings_raw]]*Table1[[#This Row],[price_level_index_mean_deviance]])</f>
        <v>0</v>
      </c>
      <c r="G102" s="11" t="e">
        <f>IF(Table1[[#This Row],[date]]&lt;B101,"",(Table1[[#This Row],[european_earnings_index_raw]]-F101)/F101)</f>
        <v>#DIV/0!</v>
      </c>
      <c r="H102" s="2">
        <f>_xlfn.IFNA(Table1[[#This Row],[annual_net_earnings_raw]], 0)</f>
        <v>0</v>
      </c>
      <c r="I102" s="11"/>
    </row>
    <row r="103" spans="1:9" x14ac:dyDescent="0.25">
      <c r="A103" t="s">
        <v>25</v>
      </c>
      <c r="B103" t="s">
        <v>18</v>
      </c>
      <c r="C103">
        <v>92</v>
      </c>
      <c r="D103" s="3">
        <f>(100-Table1[[#This Row],[price_level_index]])/100</f>
        <v>0.08</v>
      </c>
      <c r="E103" s="2">
        <v>21737</v>
      </c>
      <c r="F103" s="9">
        <f>Table1[[#This Row],[annual_net_earnings_raw]]+(Table1[[#This Row],[annual_net_earnings_raw]]*Table1[[#This Row],[price_level_index_mean_deviance]])</f>
        <v>23475.96</v>
      </c>
      <c r="G103" s="11" t="e">
        <f>IF(Table1[[#This Row],[date]]&lt;B102,"",(Table1[[#This Row],[european_earnings_index_raw]]-F102)/F102)</f>
        <v>#DIV/0!</v>
      </c>
      <c r="H103" s="2">
        <f>_xlfn.IFNA(Table1[[#This Row],[annual_net_earnings_raw]], 0)</f>
        <v>21737</v>
      </c>
      <c r="I103" s="11"/>
    </row>
    <row r="104" spans="1:9" x14ac:dyDescent="0.25">
      <c r="A104" t="s">
        <v>25</v>
      </c>
      <c r="B104" t="s">
        <v>19</v>
      </c>
      <c r="C104">
        <v>93.2</v>
      </c>
      <c r="D104" s="3">
        <f>(100-Table1[[#This Row],[price_level_index]])/100</f>
        <v>6.7999999999999977E-2</v>
      </c>
      <c r="E104" s="2">
        <v>22028</v>
      </c>
      <c r="F104" s="9">
        <f>Table1[[#This Row],[annual_net_earnings_raw]]+(Table1[[#This Row],[annual_net_earnings_raw]]*Table1[[#This Row],[price_level_index_mean_deviance]])</f>
        <v>23525.903999999999</v>
      </c>
      <c r="G104" s="11">
        <f>IF(Table1[[#This Row],[date]]&lt;B103,"",(Table1[[#This Row],[european_earnings_index_raw]]-F103)/F103)</f>
        <v>2.127452934832037E-3</v>
      </c>
      <c r="H104" s="2">
        <f>_xlfn.IFNA(Table1[[#This Row],[annual_net_earnings_raw]], 0)</f>
        <v>22028</v>
      </c>
      <c r="I104" s="11"/>
    </row>
    <row r="105" spans="1:9" x14ac:dyDescent="0.25">
      <c r="A105" t="s">
        <v>25</v>
      </c>
      <c r="B105" t="s">
        <v>20</v>
      </c>
      <c r="C105">
        <v>93.9</v>
      </c>
      <c r="D105" s="3">
        <f>(100-Table1[[#This Row],[price_level_index]])/100</f>
        <v>6.0999999999999943E-2</v>
      </c>
      <c r="E105" s="2">
        <v>22198</v>
      </c>
      <c r="F105" s="9">
        <f>Table1[[#This Row],[annual_net_earnings_raw]]+(Table1[[#This Row],[annual_net_earnings_raw]]*Table1[[#This Row],[price_level_index_mean_deviance]])</f>
        <v>23552.077999999998</v>
      </c>
      <c r="G105" s="11">
        <f>IF(Table1[[#This Row],[date]]&lt;B104,"",(Table1[[#This Row],[european_earnings_index_raw]]-F104)/F104)</f>
        <v>1.1125608605730547E-3</v>
      </c>
      <c r="H105" s="2">
        <f>_xlfn.IFNA(Table1[[#This Row],[annual_net_earnings_raw]], 0)</f>
        <v>22198</v>
      </c>
      <c r="I105" s="11"/>
    </row>
    <row r="106" spans="1:9" x14ac:dyDescent="0.25">
      <c r="A106" t="s">
        <v>25</v>
      </c>
      <c r="B106" t="s">
        <v>21</v>
      </c>
      <c r="C106">
        <v>93.7</v>
      </c>
      <c r="D106" s="3">
        <f>(100-Table1[[#This Row],[price_level_index]])/100</f>
        <v>6.2999999999999973E-2</v>
      </c>
      <c r="E106" s="2">
        <v>22476</v>
      </c>
      <c r="F106" s="9">
        <f>Table1[[#This Row],[annual_net_earnings_raw]]+(Table1[[#This Row],[annual_net_earnings_raw]]*Table1[[#This Row],[price_level_index_mean_deviance]])</f>
        <v>23891.987999999998</v>
      </c>
      <c r="G106" s="11">
        <f>IF(Table1[[#This Row],[date]]&lt;B105,"",(Table1[[#This Row],[european_earnings_index_raw]]-F105)/F105)</f>
        <v>1.4432272175729033E-2</v>
      </c>
      <c r="H106" s="2">
        <f>_xlfn.IFNA(Table1[[#This Row],[annual_net_earnings_raw]], 0)</f>
        <v>22476</v>
      </c>
      <c r="I106" s="11"/>
    </row>
    <row r="107" spans="1:9" x14ac:dyDescent="0.25">
      <c r="A107" t="s">
        <v>26</v>
      </c>
      <c r="B107" t="s">
        <v>1</v>
      </c>
      <c r="C107">
        <v>46</v>
      </c>
      <c r="D107" s="3">
        <f>(100-Table1[[#This Row],[price_level_index]])/100</f>
        <v>0.54</v>
      </c>
      <c r="E107" s="2">
        <v>6855</v>
      </c>
      <c r="F107" s="9">
        <f>Table1[[#This Row],[annual_net_earnings_raw]]+(Table1[[#This Row],[annual_net_earnings_raw]]*Table1[[#This Row],[price_level_index_mean_deviance]])</f>
        <v>10556.7</v>
      </c>
      <c r="G107" s="11" t="str">
        <f>IF(Table1[[#This Row],[date]]&lt;B106,"",(Table1[[#This Row],[european_earnings_index_raw]]-F106)/F106)</f>
        <v/>
      </c>
      <c r="H107" s="2">
        <f>_xlfn.IFNA(Table1[[#This Row],[annual_net_earnings_raw]], 0)</f>
        <v>6855</v>
      </c>
      <c r="I107" s="11"/>
    </row>
    <row r="108" spans="1:9" x14ac:dyDescent="0.25">
      <c r="A108" t="s">
        <v>26</v>
      </c>
      <c r="B108" t="s">
        <v>2</v>
      </c>
      <c r="C108">
        <v>47.5</v>
      </c>
      <c r="D108" s="3">
        <f>(100-Table1[[#This Row],[price_level_index]])/100</f>
        <v>0.52500000000000002</v>
      </c>
      <c r="E108" s="2">
        <v>7518</v>
      </c>
      <c r="F108" s="9">
        <f>Table1[[#This Row],[annual_net_earnings_raw]]+(Table1[[#This Row],[annual_net_earnings_raw]]*Table1[[#This Row],[price_level_index_mean_deviance]])</f>
        <v>11464.95</v>
      </c>
      <c r="G108" s="11">
        <f>IF(Table1[[#This Row],[date]]&lt;B107,"",(Table1[[#This Row],[european_earnings_index_raw]]-F107)/F107)</f>
        <v>8.603540879252039E-2</v>
      </c>
      <c r="H108" s="2">
        <f>_xlfn.IFNA(Table1[[#This Row],[annual_net_earnings_raw]], 0)</f>
        <v>7518</v>
      </c>
      <c r="I108" s="11"/>
    </row>
    <row r="109" spans="1:9" x14ac:dyDescent="0.25">
      <c r="A109" t="s">
        <v>26</v>
      </c>
      <c r="B109" t="s">
        <v>3</v>
      </c>
      <c r="C109">
        <v>54.8</v>
      </c>
      <c r="D109" s="3">
        <f>(100-Table1[[#This Row],[price_level_index]])/100</f>
        <v>0.45200000000000001</v>
      </c>
      <c r="E109" s="2">
        <v>7759</v>
      </c>
      <c r="F109" s="9">
        <f>Table1[[#This Row],[annual_net_earnings_raw]]+(Table1[[#This Row],[annual_net_earnings_raw]]*Table1[[#This Row],[price_level_index_mean_deviance]])</f>
        <v>11266.067999999999</v>
      </c>
      <c r="G109" s="11">
        <f>IF(Table1[[#This Row],[date]]&lt;B108,"",(Table1[[#This Row],[european_earnings_index_raw]]-F108)/F108)</f>
        <v>-1.7346957466016111E-2</v>
      </c>
      <c r="H109" s="2">
        <f>_xlfn.IFNA(Table1[[#This Row],[annual_net_earnings_raw]], 0)</f>
        <v>7759</v>
      </c>
      <c r="I109" s="11"/>
    </row>
    <row r="110" spans="1:9" x14ac:dyDescent="0.25">
      <c r="A110" t="s">
        <v>26</v>
      </c>
      <c r="B110" t="s">
        <v>4</v>
      </c>
      <c r="C110">
        <v>52.2</v>
      </c>
      <c r="D110" s="3">
        <f>(100-Table1[[#This Row],[price_level_index]])/100</f>
        <v>0.47799999999999998</v>
      </c>
      <c r="E110" s="2">
        <v>8277</v>
      </c>
      <c r="F110" s="9">
        <f>Table1[[#This Row],[annual_net_earnings_raw]]+(Table1[[#This Row],[annual_net_earnings_raw]]*Table1[[#This Row],[price_level_index_mean_deviance]])</f>
        <v>12233.405999999999</v>
      </c>
      <c r="G110" s="11">
        <f>IF(Table1[[#This Row],[date]]&lt;B109,"",(Table1[[#This Row],[european_earnings_index_raw]]-F109)/F109)</f>
        <v>8.5862964789489973E-2</v>
      </c>
      <c r="H110" s="2">
        <f>_xlfn.IFNA(Table1[[#This Row],[annual_net_earnings_raw]], 0)</f>
        <v>8277</v>
      </c>
      <c r="I110" s="11"/>
    </row>
    <row r="111" spans="1:9" x14ac:dyDescent="0.25">
      <c r="A111" t="s">
        <v>26</v>
      </c>
      <c r="B111" t="s">
        <v>5</v>
      </c>
      <c r="C111">
        <v>53</v>
      </c>
      <c r="D111" s="3">
        <f>(100-Table1[[#This Row],[price_level_index]])/100</f>
        <v>0.47</v>
      </c>
      <c r="E111" s="2">
        <v>8671</v>
      </c>
      <c r="F111" s="9">
        <f>Table1[[#This Row],[annual_net_earnings_raw]]+(Table1[[#This Row],[annual_net_earnings_raw]]*Table1[[#This Row],[price_level_index_mean_deviance]])</f>
        <v>12746.369999999999</v>
      </c>
      <c r="G111" s="11">
        <f>IF(Table1[[#This Row],[date]]&lt;B110,"",(Table1[[#This Row],[european_earnings_index_raw]]-F110)/F110)</f>
        <v>4.1931413050461989E-2</v>
      </c>
      <c r="H111" s="2">
        <f>_xlfn.IFNA(Table1[[#This Row],[annual_net_earnings_raw]], 0)</f>
        <v>8671</v>
      </c>
      <c r="I111" s="11"/>
    </row>
    <row r="112" spans="1:9" x14ac:dyDescent="0.25">
      <c r="A112" t="s">
        <v>26</v>
      </c>
      <c r="B112" t="s">
        <v>6</v>
      </c>
      <c r="C112">
        <v>56.6</v>
      </c>
      <c r="D112" s="3">
        <f>(100-Table1[[#This Row],[price_level_index]])/100</f>
        <v>0.434</v>
      </c>
      <c r="E112" s="2">
        <v>9118</v>
      </c>
      <c r="F112" s="9">
        <f>Table1[[#This Row],[annual_net_earnings_raw]]+(Table1[[#This Row],[annual_net_earnings_raw]]*Table1[[#This Row],[price_level_index_mean_deviance]])</f>
        <v>13075.212</v>
      </c>
      <c r="G112" s="11">
        <f>IF(Table1[[#This Row],[date]]&lt;B111,"",(Table1[[#This Row],[european_earnings_index_raw]]-F111)/F111)</f>
        <v>2.5798874503093868E-2</v>
      </c>
      <c r="H112" s="2">
        <f>_xlfn.IFNA(Table1[[#This Row],[annual_net_earnings_raw]], 0)</f>
        <v>9118</v>
      </c>
      <c r="I112" s="11"/>
    </row>
    <row r="113" spans="1:9" x14ac:dyDescent="0.25">
      <c r="A113" t="s">
        <v>26</v>
      </c>
      <c r="B113" t="s">
        <v>7</v>
      </c>
      <c r="C113">
        <v>60.8</v>
      </c>
      <c r="D113" s="3">
        <f>(100-Table1[[#This Row],[price_level_index]])/100</f>
        <v>0.39200000000000002</v>
      </c>
      <c r="E113" s="2">
        <v>9762</v>
      </c>
      <c r="F113" s="9">
        <f>Table1[[#This Row],[annual_net_earnings_raw]]+(Table1[[#This Row],[annual_net_earnings_raw]]*Table1[[#This Row],[price_level_index_mean_deviance]])</f>
        <v>13588.704</v>
      </c>
      <c r="G113" s="11">
        <f>IF(Table1[[#This Row],[date]]&lt;B112,"",(Table1[[#This Row],[european_earnings_index_raw]]-F112)/F112)</f>
        <v>3.9272173942571653E-2</v>
      </c>
      <c r="H113" s="2">
        <f>_xlfn.IFNA(Table1[[#This Row],[annual_net_earnings_raw]], 0)</f>
        <v>9762</v>
      </c>
      <c r="I113" s="11"/>
    </row>
    <row r="114" spans="1:9" x14ac:dyDescent="0.25">
      <c r="A114" t="s">
        <v>26</v>
      </c>
      <c r="B114" t="s">
        <v>8</v>
      </c>
      <c r="C114">
        <v>61.9</v>
      </c>
      <c r="D114" s="3">
        <f>(100-Table1[[#This Row],[price_level_index]])/100</f>
        <v>0.38100000000000001</v>
      </c>
      <c r="E114" s="2">
        <v>10519</v>
      </c>
      <c r="F114" s="9">
        <f>Table1[[#This Row],[annual_net_earnings_raw]]+(Table1[[#This Row],[annual_net_earnings_raw]]*Table1[[#This Row],[price_level_index_mean_deviance]])</f>
        <v>14526.739</v>
      </c>
      <c r="G114" s="11">
        <f>IF(Table1[[#This Row],[date]]&lt;B113,"",(Table1[[#This Row],[european_earnings_index_raw]]-F113)/F113)</f>
        <v>6.9030497683958664E-2</v>
      </c>
      <c r="H114" s="2">
        <f>_xlfn.IFNA(Table1[[#This Row],[annual_net_earnings_raw]], 0)</f>
        <v>10519</v>
      </c>
      <c r="I114" s="11"/>
    </row>
    <row r="115" spans="1:9" x14ac:dyDescent="0.25">
      <c r="A115" t="s">
        <v>26</v>
      </c>
      <c r="B115" t="s">
        <v>9</v>
      </c>
      <c r="C115">
        <v>69.5</v>
      </c>
      <c r="D115" s="3">
        <f>(100-Table1[[#This Row],[price_level_index]])/100</f>
        <v>0.30499999999999999</v>
      </c>
      <c r="E115" s="2">
        <v>11268</v>
      </c>
      <c r="F115" s="9">
        <f>Table1[[#This Row],[annual_net_earnings_raw]]+(Table1[[#This Row],[annual_net_earnings_raw]]*Table1[[#This Row],[price_level_index_mean_deviance]])</f>
        <v>14704.74</v>
      </c>
      <c r="G115" s="11">
        <f>IF(Table1[[#This Row],[date]]&lt;B114,"",(Table1[[#This Row],[european_earnings_index_raw]]-F114)/F114)</f>
        <v>1.2253335039612139E-2</v>
      </c>
      <c r="H115" s="2">
        <f>_xlfn.IFNA(Table1[[#This Row],[annual_net_earnings_raw]], 0)</f>
        <v>11268</v>
      </c>
      <c r="I115" s="11"/>
    </row>
    <row r="116" spans="1:9" x14ac:dyDescent="0.25">
      <c r="A116" t="s">
        <v>26</v>
      </c>
      <c r="B116" t="s">
        <v>10</v>
      </c>
      <c r="C116">
        <v>65.400000000000006</v>
      </c>
      <c r="D116" s="3">
        <f>(100-Table1[[#This Row],[price_level_index]])/100</f>
        <v>0.34599999999999992</v>
      </c>
      <c r="E116" s="2">
        <v>11877</v>
      </c>
      <c r="F116" s="9">
        <f>Table1[[#This Row],[annual_net_earnings_raw]]+(Table1[[#This Row],[annual_net_earnings_raw]]*Table1[[#This Row],[price_level_index_mean_deviance]])</f>
        <v>15986.441999999999</v>
      </c>
      <c r="G116" s="11">
        <f>IF(Table1[[#This Row],[date]]&lt;B115,"",(Table1[[#This Row],[european_earnings_index_raw]]-F115)/F115)</f>
        <v>8.7162506783526897E-2</v>
      </c>
      <c r="H116" s="2">
        <f>_xlfn.IFNA(Table1[[#This Row],[annual_net_earnings_raw]], 0)</f>
        <v>11877</v>
      </c>
      <c r="I116" s="11"/>
    </row>
    <row r="117" spans="1:9" x14ac:dyDescent="0.25">
      <c r="A117" t="s">
        <v>26</v>
      </c>
      <c r="B117" t="s">
        <v>11</v>
      </c>
      <c r="C117">
        <v>67.900000000000006</v>
      </c>
      <c r="D117" s="3">
        <f>(100-Table1[[#This Row],[price_level_index]])/100</f>
        <v>0.32099999999999995</v>
      </c>
      <c r="E117" s="2">
        <v>12070</v>
      </c>
      <c r="F117" s="9">
        <f>Table1[[#This Row],[annual_net_earnings_raw]]+(Table1[[#This Row],[annual_net_earnings_raw]]*Table1[[#This Row],[price_level_index_mean_deviance]])</f>
        <v>15944.47</v>
      </c>
      <c r="G117" s="11">
        <f>IF(Table1[[#This Row],[date]]&lt;B116,"",(Table1[[#This Row],[european_earnings_index_raw]]-F116)/F116)</f>
        <v>-2.6254747616761601E-3</v>
      </c>
      <c r="H117" s="2">
        <f>_xlfn.IFNA(Table1[[#This Row],[annual_net_earnings_raw]], 0)</f>
        <v>12070</v>
      </c>
      <c r="I117" s="11"/>
    </row>
    <row r="118" spans="1:9" x14ac:dyDescent="0.25">
      <c r="A118" t="s">
        <v>26</v>
      </c>
      <c r="B118" t="s">
        <v>12</v>
      </c>
      <c r="C118">
        <v>70.3</v>
      </c>
      <c r="D118" s="3">
        <f>(100-Table1[[#This Row],[price_level_index]])/100</f>
        <v>0.29700000000000004</v>
      </c>
      <c r="E118" s="2">
        <v>12318</v>
      </c>
      <c r="F118" s="9">
        <f>Table1[[#This Row],[annual_net_earnings_raw]]+(Table1[[#This Row],[annual_net_earnings_raw]]*Table1[[#This Row],[price_level_index_mean_deviance]])</f>
        <v>15976.446</v>
      </c>
      <c r="G118" s="11">
        <f>IF(Table1[[#This Row],[date]]&lt;B117,"",(Table1[[#This Row],[european_earnings_index_raw]]-F117)/F117)</f>
        <v>2.0054602003077284E-3</v>
      </c>
      <c r="H118" s="2">
        <f>_xlfn.IFNA(Table1[[#This Row],[annual_net_earnings_raw]], 0)</f>
        <v>12318</v>
      </c>
      <c r="I118" s="11"/>
    </row>
    <row r="119" spans="1:9" x14ac:dyDescent="0.25">
      <c r="A119" t="s">
        <v>26</v>
      </c>
      <c r="B119" t="s">
        <v>13</v>
      </c>
      <c r="C119">
        <v>69.099999999999994</v>
      </c>
      <c r="D119" s="3">
        <f>(100-Table1[[#This Row],[price_level_index]])/100</f>
        <v>0.30900000000000005</v>
      </c>
      <c r="E119" s="2">
        <v>12607</v>
      </c>
      <c r="F119" s="9">
        <f>Table1[[#This Row],[annual_net_earnings_raw]]+(Table1[[#This Row],[annual_net_earnings_raw]]*Table1[[#This Row],[price_level_index_mean_deviance]])</f>
        <v>16502.563000000002</v>
      </c>
      <c r="G119" s="11">
        <f>IF(Table1[[#This Row],[date]]&lt;B118,"",(Table1[[#This Row],[european_earnings_index_raw]]-F118)/F118)</f>
        <v>3.2930790740318718E-2</v>
      </c>
      <c r="H119" s="2">
        <f>_xlfn.IFNA(Table1[[#This Row],[annual_net_earnings_raw]], 0)</f>
        <v>12607</v>
      </c>
      <c r="I119" s="11"/>
    </row>
    <row r="120" spans="1:9" x14ac:dyDescent="0.25">
      <c r="A120" t="s">
        <v>26</v>
      </c>
      <c r="B120" t="s">
        <v>14</v>
      </c>
      <c r="C120">
        <v>65.2</v>
      </c>
      <c r="D120" s="3">
        <f>(100-Table1[[#This Row],[price_level_index]])/100</f>
        <v>0.34799999999999998</v>
      </c>
      <c r="E120" s="2">
        <v>12770</v>
      </c>
      <c r="F120" s="9">
        <f>Table1[[#This Row],[annual_net_earnings_raw]]+(Table1[[#This Row],[annual_net_earnings_raw]]*Table1[[#This Row],[price_level_index_mean_deviance]])</f>
        <v>17213.96</v>
      </c>
      <c r="G120" s="11">
        <f>IF(Table1[[#This Row],[date]]&lt;B119,"",(Table1[[#This Row],[european_earnings_index_raw]]-F119)/F119)</f>
        <v>4.3108273545145508E-2</v>
      </c>
      <c r="H120" s="2">
        <f>_xlfn.IFNA(Table1[[#This Row],[annual_net_earnings_raw]], 0)</f>
        <v>12770</v>
      </c>
      <c r="I120" s="11"/>
    </row>
    <row r="121" spans="1:9" x14ac:dyDescent="0.25">
      <c r="A121" t="s">
        <v>26</v>
      </c>
      <c r="B121" t="s">
        <v>15</v>
      </c>
      <c r="C121">
        <v>60.7</v>
      </c>
      <c r="D121" s="3">
        <f>(100-Table1[[#This Row],[price_level_index]])/100</f>
        <v>0.39299999999999996</v>
      </c>
      <c r="E121" s="2">
        <v>13257</v>
      </c>
      <c r="F121" s="9">
        <f>Table1[[#This Row],[annual_net_earnings_raw]]+(Table1[[#This Row],[annual_net_earnings_raw]]*Table1[[#This Row],[price_level_index_mean_deviance]])</f>
        <v>18467.001</v>
      </c>
      <c r="G121" s="11">
        <f>IF(Table1[[#This Row],[date]]&lt;B120,"",(Table1[[#This Row],[european_earnings_index_raw]]-F120)/F120)</f>
        <v>7.2792140797352911E-2</v>
      </c>
      <c r="H121" s="2">
        <f>_xlfn.IFNA(Table1[[#This Row],[annual_net_earnings_raw]], 0)</f>
        <v>13257</v>
      </c>
      <c r="I121" s="11"/>
    </row>
    <row r="122" spans="1:9" x14ac:dyDescent="0.25">
      <c r="A122" t="s">
        <v>26</v>
      </c>
      <c r="B122" t="s">
        <v>16</v>
      </c>
      <c r="C122">
        <v>62.1</v>
      </c>
      <c r="D122" s="3">
        <f>(100-Table1[[#This Row],[price_level_index]])/100</f>
        <v>0.379</v>
      </c>
      <c r="E122" s="2">
        <v>13476</v>
      </c>
      <c r="F122" s="9">
        <f>Table1[[#This Row],[annual_net_earnings_raw]]+(Table1[[#This Row],[annual_net_earnings_raw]]*Table1[[#This Row],[price_level_index_mean_deviance]])</f>
        <v>18583.404000000002</v>
      </c>
      <c r="G122" s="11">
        <f>IF(Table1[[#This Row],[date]]&lt;B121,"",(Table1[[#This Row],[european_earnings_index_raw]]-F121)/F121)</f>
        <v>6.3032974330808813E-3</v>
      </c>
      <c r="H122" s="2">
        <f>_xlfn.IFNA(Table1[[#This Row],[annual_net_earnings_raw]], 0)</f>
        <v>13476</v>
      </c>
      <c r="I122" s="11"/>
    </row>
    <row r="123" spans="1:9" x14ac:dyDescent="0.25">
      <c r="A123" t="s">
        <v>26</v>
      </c>
      <c r="B123" t="s">
        <v>17</v>
      </c>
      <c r="C123">
        <v>63.1</v>
      </c>
      <c r="D123" s="3">
        <f>(100-Table1[[#This Row],[price_level_index]])/100</f>
        <v>0.36899999999999999</v>
      </c>
      <c r="E123" s="2">
        <v>13836</v>
      </c>
      <c r="F123" s="9">
        <f>Table1[[#This Row],[annual_net_earnings_raw]]+(Table1[[#This Row],[annual_net_earnings_raw]]*Table1[[#This Row],[price_level_index_mean_deviance]])</f>
        <v>18941.484</v>
      </c>
      <c r="G123" s="11">
        <f>IF(Table1[[#This Row],[date]]&lt;B122,"",(Table1[[#This Row],[european_earnings_index_raw]]-F122)/F122)</f>
        <v>1.9268805650460921E-2</v>
      </c>
      <c r="H123" s="2">
        <f>_xlfn.IFNA(Table1[[#This Row],[annual_net_earnings_raw]], 0)</f>
        <v>13836</v>
      </c>
      <c r="I123" s="11"/>
    </row>
    <row r="124" spans="1:9" x14ac:dyDescent="0.25">
      <c r="A124" t="s">
        <v>26</v>
      </c>
      <c r="B124" t="s">
        <v>18</v>
      </c>
      <c r="C124">
        <v>64.7</v>
      </c>
      <c r="D124" s="3">
        <f>(100-Table1[[#This Row],[price_level_index]])/100</f>
        <v>0.35299999999999998</v>
      </c>
      <c r="E124" s="2">
        <v>14598</v>
      </c>
      <c r="F124" s="9">
        <f>Table1[[#This Row],[annual_net_earnings_raw]]+(Table1[[#This Row],[annual_net_earnings_raw]]*Table1[[#This Row],[price_level_index_mean_deviance]])</f>
        <v>19751.094000000001</v>
      </c>
      <c r="G124" s="11">
        <f>IF(Table1[[#This Row],[date]]&lt;B123,"",(Table1[[#This Row],[european_earnings_index_raw]]-F123)/F123)</f>
        <v>4.2742691121772751E-2</v>
      </c>
      <c r="H124" s="2">
        <f>_xlfn.IFNA(Table1[[#This Row],[annual_net_earnings_raw]], 0)</f>
        <v>14598</v>
      </c>
      <c r="I124" s="11"/>
    </row>
    <row r="125" spans="1:9" x14ac:dyDescent="0.25">
      <c r="A125" t="s">
        <v>26</v>
      </c>
      <c r="B125" t="s">
        <v>19</v>
      </c>
      <c r="C125">
        <v>68</v>
      </c>
      <c r="D125" s="3">
        <f>(100-Table1[[#This Row],[price_level_index]])/100</f>
        <v>0.32</v>
      </c>
      <c r="E125" s="2">
        <v>15208</v>
      </c>
      <c r="F125" s="9">
        <f>Table1[[#This Row],[annual_net_earnings_raw]]+(Table1[[#This Row],[annual_net_earnings_raw]]*Table1[[#This Row],[price_level_index_mean_deviance]])</f>
        <v>20074.560000000001</v>
      </c>
      <c r="G125" s="11">
        <f>IF(Table1[[#This Row],[date]]&lt;B124,"",(Table1[[#This Row],[european_earnings_index_raw]]-F124)/F124)</f>
        <v>1.6377118148493464E-2</v>
      </c>
      <c r="H125" s="2">
        <f>_xlfn.IFNA(Table1[[#This Row],[annual_net_earnings_raw]], 0)</f>
        <v>15208</v>
      </c>
      <c r="I125" s="11"/>
    </row>
    <row r="126" spans="1:9" x14ac:dyDescent="0.25">
      <c r="A126" t="s">
        <v>26</v>
      </c>
      <c r="B126" t="s">
        <v>20</v>
      </c>
      <c r="C126">
        <v>69.3</v>
      </c>
      <c r="D126" s="3">
        <f>(100-Table1[[#This Row],[price_level_index]])/100</f>
        <v>0.30700000000000005</v>
      </c>
      <c r="E126" s="2">
        <v>15968</v>
      </c>
      <c r="F126" s="9">
        <f>Table1[[#This Row],[annual_net_earnings_raw]]+(Table1[[#This Row],[annual_net_earnings_raw]]*Table1[[#This Row],[price_level_index_mean_deviance]])</f>
        <v>20870.175999999999</v>
      </c>
      <c r="G126" s="11">
        <f>IF(Table1[[#This Row],[date]]&lt;B125,"",(Table1[[#This Row],[european_earnings_index_raw]]-F125)/F125)</f>
        <v>3.9633047997066843E-2</v>
      </c>
      <c r="H126" s="2">
        <f>_xlfn.IFNA(Table1[[#This Row],[annual_net_earnings_raw]], 0)</f>
        <v>15968</v>
      </c>
      <c r="I126" s="11"/>
    </row>
    <row r="127" spans="1:9" x14ac:dyDescent="0.25">
      <c r="A127" t="s">
        <v>26</v>
      </c>
      <c r="B127" t="s">
        <v>21</v>
      </c>
      <c r="C127">
        <v>69.3</v>
      </c>
      <c r="D127" s="3">
        <f>(100-Table1[[#This Row],[price_level_index]])/100</f>
        <v>0.30700000000000005</v>
      </c>
      <c r="E127" s="2">
        <v>15697</v>
      </c>
      <c r="F127" s="9">
        <f>Table1[[#This Row],[annual_net_earnings_raw]]+(Table1[[#This Row],[annual_net_earnings_raw]]*Table1[[#This Row],[price_level_index_mean_deviance]])</f>
        <v>20515.978999999999</v>
      </c>
      <c r="G127" s="11">
        <f>IF(Table1[[#This Row],[date]]&lt;B126,"",(Table1[[#This Row],[european_earnings_index_raw]]-F126)/F126)</f>
        <v>-1.697144288577155E-2</v>
      </c>
      <c r="H127" s="2">
        <f>_xlfn.IFNA(Table1[[#This Row],[annual_net_earnings_raw]], 0)</f>
        <v>15697</v>
      </c>
      <c r="I127" s="11"/>
    </row>
    <row r="128" spans="1:9" x14ac:dyDescent="0.25">
      <c r="A128" t="s">
        <v>27</v>
      </c>
      <c r="B128" t="s">
        <v>1</v>
      </c>
      <c r="C128">
        <v>145.80000000000001</v>
      </c>
      <c r="D128" s="3">
        <f>(100-Table1[[#This Row],[price_level_index]])/100</f>
        <v>-0.45800000000000013</v>
      </c>
      <c r="E128" s="2">
        <v>15694</v>
      </c>
      <c r="F128" s="9">
        <f>Table1[[#This Row],[annual_net_earnings_raw]]+(Table1[[#This Row],[annual_net_earnings_raw]]*Table1[[#This Row],[price_level_index_mean_deviance]])</f>
        <v>8506.1479999999974</v>
      </c>
      <c r="G128" s="11" t="str">
        <f>IF(Table1[[#This Row],[date]]&lt;B127,"",(Table1[[#This Row],[european_earnings_index_raw]]-F127)/F127)</f>
        <v/>
      </c>
      <c r="H128" s="2">
        <f>_xlfn.IFNA(Table1[[#This Row],[annual_net_earnings_raw]], 0)</f>
        <v>15694</v>
      </c>
      <c r="I128" s="11"/>
    </row>
    <row r="129" spans="1:9" x14ac:dyDescent="0.25">
      <c r="A129" t="s">
        <v>27</v>
      </c>
      <c r="B129" t="s">
        <v>2</v>
      </c>
      <c r="C129">
        <v>149</v>
      </c>
      <c r="D129" s="3">
        <f>(100-Table1[[#This Row],[price_level_index]])/100</f>
        <v>-0.49</v>
      </c>
      <c r="E129" s="2">
        <v>16013</v>
      </c>
      <c r="F129" s="9">
        <f>Table1[[#This Row],[annual_net_earnings_raw]]+(Table1[[#This Row],[annual_net_earnings_raw]]*Table1[[#This Row],[price_level_index_mean_deviance]])</f>
        <v>8166.63</v>
      </c>
      <c r="G129" s="11">
        <f>IF(Table1[[#This Row],[date]]&lt;B128,"",(Table1[[#This Row],[european_earnings_index_raw]]-F128)/F128)</f>
        <v>-3.9914424249377911E-2</v>
      </c>
      <c r="H129" s="2">
        <f>_xlfn.IFNA(Table1[[#This Row],[annual_net_earnings_raw]], 0)</f>
        <v>16013</v>
      </c>
      <c r="I129" s="11"/>
    </row>
    <row r="130" spans="1:9" x14ac:dyDescent="0.25">
      <c r="A130" t="s">
        <v>27</v>
      </c>
      <c r="B130" t="s">
        <v>3</v>
      </c>
      <c r="C130">
        <v>148.80000000000001</v>
      </c>
      <c r="D130" s="3">
        <f>(100-Table1[[#This Row],[price_level_index]])/100</f>
        <v>-0.4880000000000001</v>
      </c>
      <c r="E130" s="2">
        <v>16826</v>
      </c>
      <c r="F130" s="9">
        <f>Table1[[#This Row],[annual_net_earnings_raw]]+(Table1[[#This Row],[annual_net_earnings_raw]]*Table1[[#This Row],[price_level_index_mean_deviance]])</f>
        <v>8614.9119999999984</v>
      </c>
      <c r="G130" s="11">
        <f>IF(Table1[[#This Row],[date]]&lt;B129,"",(Table1[[#This Row],[european_earnings_index_raw]]-F129)/F129)</f>
        <v>5.4891919922905569E-2</v>
      </c>
      <c r="H130" s="2">
        <f>_xlfn.IFNA(Table1[[#This Row],[annual_net_earnings_raw]], 0)</f>
        <v>16826</v>
      </c>
      <c r="I130" s="11"/>
    </row>
    <row r="131" spans="1:9" x14ac:dyDescent="0.25">
      <c r="A131" t="s">
        <v>27</v>
      </c>
      <c r="B131" t="s">
        <v>4</v>
      </c>
      <c r="C131">
        <v>150.4</v>
      </c>
      <c r="D131" s="3">
        <f>(100-Table1[[#This Row],[price_level_index]])/100</f>
        <v>-0.504</v>
      </c>
      <c r="E131" s="2">
        <v>17209</v>
      </c>
      <c r="F131" s="9">
        <f>Table1[[#This Row],[annual_net_earnings_raw]]+(Table1[[#This Row],[annual_net_earnings_raw]]*Table1[[#This Row],[price_level_index_mean_deviance]])</f>
        <v>8535.6640000000007</v>
      </c>
      <c r="G131" s="11">
        <f>IF(Table1[[#This Row],[date]]&lt;B130,"",(Table1[[#This Row],[european_earnings_index_raw]]-F130)/F130)</f>
        <v>-9.1989331986209247E-3</v>
      </c>
      <c r="H131" s="2">
        <f>_xlfn.IFNA(Table1[[#This Row],[annual_net_earnings_raw]], 0)</f>
        <v>17209</v>
      </c>
      <c r="I131" s="11"/>
    </row>
    <row r="132" spans="1:9" x14ac:dyDescent="0.25">
      <c r="A132" t="s">
        <v>27</v>
      </c>
      <c r="B132" t="s">
        <v>5</v>
      </c>
      <c r="C132">
        <v>149</v>
      </c>
      <c r="D132" s="3">
        <f>(100-Table1[[#This Row],[price_level_index]])/100</f>
        <v>-0.49</v>
      </c>
      <c r="E132" s="2">
        <v>18200</v>
      </c>
      <c r="F132" s="9">
        <f>Table1[[#This Row],[annual_net_earnings_raw]]+(Table1[[#This Row],[annual_net_earnings_raw]]*Table1[[#This Row],[price_level_index_mean_deviance]])</f>
        <v>9282</v>
      </c>
      <c r="G132" s="11">
        <f>IF(Table1[[#This Row],[date]]&lt;B131,"",(Table1[[#This Row],[european_earnings_index_raw]]-F131)/F131)</f>
        <v>8.7437368668682278E-2</v>
      </c>
      <c r="H132" s="2">
        <f>_xlfn.IFNA(Table1[[#This Row],[annual_net_earnings_raw]], 0)</f>
        <v>18200</v>
      </c>
      <c r="I132" s="11"/>
    </row>
    <row r="133" spans="1:9" x14ac:dyDescent="0.25">
      <c r="A133" t="s">
        <v>27</v>
      </c>
      <c r="B133" t="s">
        <v>6</v>
      </c>
      <c r="C133">
        <v>149.1</v>
      </c>
      <c r="D133" s="3">
        <f>(100-Table1[[#This Row],[price_level_index]])/100</f>
        <v>-0.49099999999999994</v>
      </c>
      <c r="E133" s="2">
        <v>18374</v>
      </c>
      <c r="F133" s="9">
        <f>Table1[[#This Row],[annual_net_earnings_raw]]+(Table1[[#This Row],[annual_net_earnings_raw]]*Table1[[#This Row],[price_level_index_mean_deviance]])</f>
        <v>9352.3660000000018</v>
      </c>
      <c r="G133" s="11">
        <f>IF(Table1[[#This Row],[date]]&lt;B132,"",(Table1[[#This Row],[european_earnings_index_raw]]-F132)/F132)</f>
        <v>7.5809092867918345E-3</v>
      </c>
      <c r="H133" s="2">
        <f>_xlfn.IFNA(Table1[[#This Row],[annual_net_earnings_raw]], 0)</f>
        <v>18374</v>
      </c>
      <c r="I133" s="11"/>
    </row>
    <row r="134" spans="1:9" x14ac:dyDescent="0.25">
      <c r="A134" t="s">
        <v>27</v>
      </c>
      <c r="B134" t="s">
        <v>7</v>
      </c>
      <c r="C134">
        <v>146.4</v>
      </c>
      <c r="D134" s="3">
        <f>(100-Table1[[#This Row],[price_level_index]])/100</f>
        <v>-0.46400000000000008</v>
      </c>
      <c r="E134" s="2">
        <v>19249</v>
      </c>
      <c r="F134" s="9">
        <f>Table1[[#This Row],[annual_net_earnings_raw]]+(Table1[[#This Row],[annual_net_earnings_raw]]*Table1[[#This Row],[price_level_index_mean_deviance]])</f>
        <v>10317.463999999998</v>
      </c>
      <c r="G134" s="11">
        <f>IF(Table1[[#This Row],[date]]&lt;B133,"",(Table1[[#This Row],[european_earnings_index_raw]]-F133)/F133)</f>
        <v>0.10319292465671212</v>
      </c>
      <c r="H134" s="2">
        <f>_xlfn.IFNA(Table1[[#This Row],[annual_net_earnings_raw]], 0)</f>
        <v>19249</v>
      </c>
      <c r="I134" s="11"/>
    </row>
    <row r="135" spans="1:9" x14ac:dyDescent="0.25">
      <c r="A135" t="s">
        <v>27</v>
      </c>
      <c r="B135" t="s">
        <v>8</v>
      </c>
      <c r="C135">
        <v>142.19999999999999</v>
      </c>
      <c r="D135" s="3">
        <f>(100-Table1[[#This Row],[price_level_index]])/100</f>
        <v>-0.42199999999999988</v>
      </c>
      <c r="E135" s="2">
        <v>20536</v>
      </c>
      <c r="F135" s="9">
        <f>Table1[[#This Row],[annual_net_earnings_raw]]+(Table1[[#This Row],[annual_net_earnings_raw]]*Table1[[#This Row],[price_level_index_mean_deviance]])</f>
        <v>11869.808000000003</v>
      </c>
      <c r="G135" s="11">
        <f>IF(Table1[[#This Row],[date]]&lt;B134,"",(Table1[[#This Row],[european_earnings_index_raw]]-F134)/F134)</f>
        <v>0.15045790322117963</v>
      </c>
      <c r="H135" s="2">
        <f>_xlfn.IFNA(Table1[[#This Row],[annual_net_earnings_raw]], 0)</f>
        <v>20536</v>
      </c>
      <c r="I135" s="11"/>
    </row>
    <row r="136" spans="1:9" x14ac:dyDescent="0.25">
      <c r="A136" t="s">
        <v>27</v>
      </c>
      <c r="B136" t="s">
        <v>9</v>
      </c>
      <c r="C136">
        <v>142</v>
      </c>
      <c r="D136" s="3">
        <f>(100-Table1[[#This Row],[price_level_index]])/100</f>
        <v>-0.42</v>
      </c>
      <c r="E136" s="2">
        <v>21363</v>
      </c>
      <c r="F136" s="9">
        <f>Table1[[#This Row],[annual_net_earnings_raw]]+(Table1[[#This Row],[annual_net_earnings_raw]]*Table1[[#This Row],[price_level_index_mean_deviance]])</f>
        <v>12390.54</v>
      </c>
      <c r="G136" s="11">
        <f>IF(Table1[[#This Row],[date]]&lt;B135,"",(Table1[[#This Row],[european_earnings_index_raw]]-F135)/F135)</f>
        <v>4.387029680682266E-2</v>
      </c>
      <c r="H136" s="2">
        <f>_xlfn.IFNA(Table1[[#This Row],[annual_net_earnings_raw]], 0)</f>
        <v>21363</v>
      </c>
      <c r="I136" s="11"/>
    </row>
    <row r="137" spans="1:9" x14ac:dyDescent="0.25">
      <c r="A137" t="s">
        <v>27</v>
      </c>
      <c r="B137" t="s">
        <v>10</v>
      </c>
      <c r="C137">
        <v>143.6</v>
      </c>
      <c r="D137" s="3">
        <f>(100-Table1[[#This Row],[price_level_index]])/100</f>
        <v>-0.43599999999999994</v>
      </c>
      <c r="E137" s="2">
        <v>22047</v>
      </c>
      <c r="F137" s="9">
        <f>Table1[[#This Row],[annual_net_earnings_raw]]+(Table1[[#This Row],[annual_net_earnings_raw]]*Table1[[#This Row],[price_level_index_mean_deviance]])</f>
        <v>12434.508000000002</v>
      </c>
      <c r="G137" s="11">
        <f>IF(Table1[[#This Row],[date]]&lt;B136,"",(Table1[[#This Row],[european_earnings_index_raw]]-F136)/F136)</f>
        <v>3.5485136241036109E-3</v>
      </c>
      <c r="H137" s="2">
        <f>_xlfn.IFNA(Table1[[#This Row],[annual_net_earnings_raw]], 0)</f>
        <v>22047</v>
      </c>
      <c r="I137" s="11"/>
    </row>
    <row r="138" spans="1:9" x14ac:dyDescent="0.25">
      <c r="A138" t="s">
        <v>27</v>
      </c>
      <c r="B138" t="s">
        <v>11</v>
      </c>
      <c r="C138">
        <v>142.80000000000001</v>
      </c>
      <c r="D138" s="3">
        <f>(100-Table1[[#This Row],[price_level_index]])/100</f>
        <v>-0.4280000000000001</v>
      </c>
      <c r="E138" s="2">
        <v>23076</v>
      </c>
      <c r="F138" s="9">
        <f>Table1[[#This Row],[annual_net_earnings_raw]]+(Table1[[#This Row],[annual_net_earnings_raw]]*Table1[[#This Row],[price_level_index_mean_deviance]])</f>
        <v>13199.471999999998</v>
      </c>
      <c r="G138" s="11">
        <f>IF(Table1[[#This Row],[date]]&lt;B137,"",(Table1[[#This Row],[european_earnings_index_raw]]-F137)/F137)</f>
        <v>6.1519442506289448E-2</v>
      </c>
      <c r="H138" s="2">
        <f>_xlfn.IFNA(Table1[[#This Row],[annual_net_earnings_raw]], 0)</f>
        <v>23076</v>
      </c>
      <c r="I138" s="11"/>
    </row>
    <row r="139" spans="1:9" x14ac:dyDescent="0.25">
      <c r="A139" t="s">
        <v>27</v>
      </c>
      <c r="B139" t="s">
        <v>12</v>
      </c>
      <c r="C139">
        <v>142.6</v>
      </c>
      <c r="D139" s="3">
        <f>(100-Table1[[#This Row],[price_level_index]])/100</f>
        <v>-0.42599999999999993</v>
      </c>
      <c r="E139" s="2">
        <v>23391</v>
      </c>
      <c r="F139" s="9">
        <f>Table1[[#This Row],[annual_net_earnings_raw]]+(Table1[[#This Row],[annual_net_earnings_raw]]*Table1[[#This Row],[price_level_index_mean_deviance]])</f>
        <v>13426.434000000001</v>
      </c>
      <c r="G139" s="11">
        <f>IF(Table1[[#This Row],[date]]&lt;B138,"",(Table1[[#This Row],[european_earnings_index_raw]]-F138)/F138)</f>
        <v>1.7194778700239163E-2</v>
      </c>
      <c r="H139" s="2">
        <f>_xlfn.IFNA(Table1[[#This Row],[annual_net_earnings_raw]], 0)</f>
        <v>23391</v>
      </c>
      <c r="I139" s="11"/>
    </row>
    <row r="140" spans="1:9" x14ac:dyDescent="0.25">
      <c r="A140" t="s">
        <v>27</v>
      </c>
      <c r="B140" t="s">
        <v>13</v>
      </c>
      <c r="C140">
        <v>144.69999999999999</v>
      </c>
      <c r="D140" s="3">
        <f>(100-Table1[[#This Row],[price_level_index]])/100</f>
        <v>-0.4469999999999999</v>
      </c>
      <c r="E140" s="2">
        <v>23567</v>
      </c>
      <c r="F140" s="9">
        <f>Table1[[#This Row],[annual_net_earnings_raw]]+(Table1[[#This Row],[annual_net_earnings_raw]]*Table1[[#This Row],[price_level_index_mean_deviance]])</f>
        <v>13032.551000000003</v>
      </c>
      <c r="G140" s="11">
        <f>IF(Table1[[#This Row],[date]]&lt;B139,"",(Table1[[#This Row],[european_earnings_index_raw]]-F139)/F139)</f>
        <v>-2.933638224416088E-2</v>
      </c>
      <c r="H140" s="2">
        <f>_xlfn.IFNA(Table1[[#This Row],[annual_net_earnings_raw]], 0)</f>
        <v>23567</v>
      </c>
      <c r="I140" s="11"/>
    </row>
    <row r="141" spans="1:9" x14ac:dyDescent="0.25">
      <c r="A141" t="s">
        <v>27</v>
      </c>
      <c r="B141" t="s">
        <v>14</v>
      </c>
      <c r="C141">
        <v>143.4</v>
      </c>
      <c r="D141" s="3">
        <f>(100-Table1[[#This Row],[price_level_index]])/100</f>
        <v>-0.43400000000000005</v>
      </c>
      <c r="E141" s="2">
        <v>23815</v>
      </c>
      <c r="F141" s="9">
        <f>Table1[[#This Row],[annual_net_earnings_raw]]+(Table1[[#This Row],[annual_net_earnings_raw]]*Table1[[#This Row],[price_level_index_mean_deviance]])</f>
        <v>13479.289999999999</v>
      </c>
      <c r="G141" s="11">
        <f>IF(Table1[[#This Row],[date]]&lt;B140,"",(Table1[[#This Row],[european_earnings_index_raw]]-F140)/F140)</f>
        <v>3.4278707215494177E-2</v>
      </c>
      <c r="H141" s="2">
        <f>_xlfn.IFNA(Table1[[#This Row],[annual_net_earnings_raw]], 0)</f>
        <v>23815</v>
      </c>
      <c r="I141" s="11"/>
    </row>
    <row r="142" spans="1:9" x14ac:dyDescent="0.25">
      <c r="A142" t="s">
        <v>27</v>
      </c>
      <c r="B142" t="s">
        <v>15</v>
      </c>
      <c r="C142">
        <v>144.30000000000001</v>
      </c>
      <c r="D142" s="3">
        <f>(100-Table1[[#This Row],[price_level_index]])/100</f>
        <v>-0.44300000000000012</v>
      </c>
      <c r="E142" s="2">
        <v>23887</v>
      </c>
      <c r="F142" s="9">
        <f>Table1[[#This Row],[annual_net_earnings_raw]]+(Table1[[#This Row],[annual_net_earnings_raw]]*Table1[[#This Row],[price_level_index_mean_deviance]])</f>
        <v>13305.058999999997</v>
      </c>
      <c r="G142" s="11">
        <f>IF(Table1[[#This Row],[date]]&lt;B141,"",(Table1[[#This Row],[european_earnings_index_raw]]-F141)/F141)</f>
        <v>-1.2925829179430193E-2</v>
      </c>
      <c r="H142" s="2">
        <f>_xlfn.IFNA(Table1[[#This Row],[annual_net_earnings_raw]], 0)</f>
        <v>23887</v>
      </c>
      <c r="I142" s="11"/>
    </row>
    <row r="143" spans="1:9" x14ac:dyDescent="0.25">
      <c r="A143" t="s">
        <v>27</v>
      </c>
      <c r="B143" t="s">
        <v>16</v>
      </c>
      <c r="C143">
        <v>143.6</v>
      </c>
      <c r="D143" s="3">
        <f>(100-Table1[[#This Row],[price_level_index]])/100</f>
        <v>-0.43599999999999994</v>
      </c>
      <c r="E143" s="2">
        <v>24282</v>
      </c>
      <c r="F143" s="9">
        <f>Table1[[#This Row],[annual_net_earnings_raw]]+(Table1[[#This Row],[annual_net_earnings_raw]]*Table1[[#This Row],[price_level_index_mean_deviance]])</f>
        <v>13695.048000000001</v>
      </c>
      <c r="G143" s="11">
        <f>IF(Table1[[#This Row],[date]]&lt;B142,"",(Table1[[#This Row],[european_earnings_index_raw]]-F142)/F142)</f>
        <v>2.9311331877596582E-2</v>
      </c>
      <c r="H143" s="2">
        <f>_xlfn.IFNA(Table1[[#This Row],[annual_net_earnings_raw]], 0)</f>
        <v>24282</v>
      </c>
      <c r="I143" s="11"/>
    </row>
    <row r="144" spans="1:9" x14ac:dyDescent="0.25">
      <c r="A144" t="s">
        <v>27</v>
      </c>
      <c r="B144" t="s">
        <v>17</v>
      </c>
      <c r="C144">
        <v>146.1</v>
      </c>
      <c r="D144" s="3">
        <f>(100-Table1[[#This Row],[price_level_index]])/100</f>
        <v>-0.46099999999999997</v>
      </c>
      <c r="E144" s="2">
        <v>23960</v>
      </c>
      <c r="F144" s="9">
        <f>Table1[[#This Row],[annual_net_earnings_raw]]+(Table1[[#This Row],[annual_net_earnings_raw]]*Table1[[#This Row],[price_level_index_mean_deviance]])</f>
        <v>12914.44</v>
      </c>
      <c r="G144" s="11">
        <f>IF(Table1[[#This Row],[date]]&lt;B143,"",(Table1[[#This Row],[european_earnings_index_raw]]-F143)/F143)</f>
        <v>-5.6999289086098866E-2</v>
      </c>
      <c r="H144" s="2">
        <f>_xlfn.IFNA(Table1[[#This Row],[annual_net_earnings_raw]], 0)</f>
        <v>23960</v>
      </c>
      <c r="I144" s="11"/>
    </row>
    <row r="145" spans="1:9" x14ac:dyDescent="0.25">
      <c r="A145" t="s">
        <v>27</v>
      </c>
      <c r="B145" t="s">
        <v>18</v>
      </c>
      <c r="C145">
        <v>143.4</v>
      </c>
      <c r="D145" s="3">
        <f>(100-Table1[[#This Row],[price_level_index]])/100</f>
        <v>-0.43400000000000005</v>
      </c>
      <c r="E145" s="2">
        <v>24840</v>
      </c>
      <c r="F145" s="9">
        <f>Table1[[#This Row],[annual_net_earnings_raw]]+(Table1[[#This Row],[annual_net_earnings_raw]]*Table1[[#This Row],[price_level_index_mean_deviance]])</f>
        <v>14059.439999999999</v>
      </c>
      <c r="G145" s="11">
        <f>IF(Table1[[#This Row],[date]]&lt;B144,"",(Table1[[#This Row],[european_earnings_index_raw]]-F144)/F144)</f>
        <v>8.8660445207070393E-2</v>
      </c>
      <c r="H145" s="2">
        <f>_xlfn.IFNA(Table1[[#This Row],[annual_net_earnings_raw]], 0)</f>
        <v>24840</v>
      </c>
      <c r="I145" s="11"/>
    </row>
    <row r="146" spans="1:9" x14ac:dyDescent="0.25">
      <c r="A146" t="s">
        <v>27</v>
      </c>
      <c r="B146" t="s">
        <v>19</v>
      </c>
      <c r="C146">
        <v>142.4</v>
      </c>
      <c r="D146" s="3">
        <f>(100-Table1[[#This Row],[price_level_index]])/100</f>
        <v>-0.42400000000000004</v>
      </c>
      <c r="E146" s="2">
        <v>25818</v>
      </c>
      <c r="F146" s="9">
        <f>Table1[[#This Row],[annual_net_earnings_raw]]+(Table1[[#This Row],[annual_net_earnings_raw]]*Table1[[#This Row],[price_level_index_mean_deviance]])</f>
        <v>14871.168</v>
      </c>
      <c r="G146" s="11">
        <f>IF(Table1[[#This Row],[date]]&lt;B145,"",(Table1[[#This Row],[european_earnings_index_raw]]-F145)/F145)</f>
        <v>5.7735443232447455E-2</v>
      </c>
      <c r="H146" s="2">
        <f>_xlfn.IFNA(Table1[[#This Row],[annual_net_earnings_raw]], 0)</f>
        <v>25818</v>
      </c>
      <c r="I146" s="11"/>
    </row>
    <row r="147" spans="1:9" x14ac:dyDescent="0.25">
      <c r="A147" t="s">
        <v>27</v>
      </c>
      <c r="B147" t="s">
        <v>20</v>
      </c>
      <c r="C147">
        <v>143.6</v>
      </c>
      <c r="D147" s="3">
        <f>(100-Table1[[#This Row],[price_level_index]])/100</f>
        <v>-0.43599999999999994</v>
      </c>
      <c r="E147" s="2">
        <v>26039</v>
      </c>
      <c r="F147" s="9">
        <f>Table1[[#This Row],[annual_net_earnings_raw]]+(Table1[[#This Row],[annual_net_earnings_raw]]*Table1[[#This Row],[price_level_index_mean_deviance]])</f>
        <v>14685.996000000001</v>
      </c>
      <c r="G147" s="11">
        <f>IF(Table1[[#This Row],[date]]&lt;B146,"",(Table1[[#This Row],[european_earnings_index_raw]]-F146)/F146)</f>
        <v>-1.2451745552198634E-2</v>
      </c>
      <c r="H147" s="2">
        <f>_xlfn.IFNA(Table1[[#This Row],[annual_net_earnings_raw]], 0)</f>
        <v>26039</v>
      </c>
      <c r="I147" s="11"/>
    </row>
    <row r="148" spans="1:9" x14ac:dyDescent="0.25">
      <c r="A148" t="s">
        <v>27</v>
      </c>
      <c r="B148" t="s">
        <v>21</v>
      </c>
      <c r="C148">
        <v>143.69999999999999</v>
      </c>
      <c r="D148" s="3">
        <f>(100-Table1[[#This Row],[price_level_index]])/100</f>
        <v>-0.43699999999999989</v>
      </c>
      <c r="E148" s="2">
        <v>26766</v>
      </c>
      <c r="F148" s="9">
        <f>Table1[[#This Row],[annual_net_earnings_raw]]+(Table1[[#This Row],[annual_net_earnings_raw]]*Table1[[#This Row],[price_level_index_mean_deviance]])</f>
        <v>15069.258000000003</v>
      </c>
      <c r="G148" s="11">
        <f>IF(Table1[[#This Row],[date]]&lt;B147,"",(Table1[[#This Row],[european_earnings_index_raw]]-F147)/F147)</f>
        <v>2.6097106386247307E-2</v>
      </c>
      <c r="H148" s="2">
        <f>_xlfn.IFNA(Table1[[#This Row],[annual_net_earnings_raw]], 0)</f>
        <v>26766</v>
      </c>
      <c r="I148" s="11"/>
    </row>
    <row r="149" spans="1:9" x14ac:dyDescent="0.25">
      <c r="A149" t="s">
        <v>28</v>
      </c>
      <c r="B149" t="s">
        <v>1</v>
      </c>
      <c r="C149">
        <v>53.2</v>
      </c>
      <c r="D149" s="3">
        <f>(100-Table1[[#This Row],[price_level_index]])/100</f>
        <v>0.46799999999999997</v>
      </c>
      <c r="E149" s="2">
        <v>5107</v>
      </c>
      <c r="F149" s="9">
        <f>Table1[[#This Row],[annual_net_earnings_raw]]+(Table1[[#This Row],[annual_net_earnings_raw]]*Table1[[#This Row],[price_level_index_mean_deviance]])</f>
        <v>7497.076</v>
      </c>
      <c r="G149" s="11" t="str">
        <f>IF(Table1[[#This Row],[date]]&lt;B148,"",(Table1[[#This Row],[european_earnings_index_raw]]-F148)/F148)</f>
        <v/>
      </c>
      <c r="H149" s="2">
        <f>_xlfn.IFNA(Table1[[#This Row],[annual_net_earnings_raw]], 0)</f>
        <v>5107</v>
      </c>
      <c r="I149" s="11"/>
    </row>
    <row r="150" spans="1:9" x14ac:dyDescent="0.25">
      <c r="A150" t="s">
        <v>28</v>
      </c>
      <c r="B150" t="s">
        <v>2</v>
      </c>
      <c r="C150">
        <v>56</v>
      </c>
      <c r="D150" s="3">
        <f>(100-Table1[[#This Row],[price_level_index]])/100</f>
        <v>0.44</v>
      </c>
      <c r="E150" s="2">
        <v>5487</v>
      </c>
      <c r="F150" s="9">
        <f>Table1[[#This Row],[annual_net_earnings_raw]]+(Table1[[#This Row],[annual_net_earnings_raw]]*Table1[[#This Row],[price_level_index_mean_deviance]])</f>
        <v>7901.2800000000007</v>
      </c>
      <c r="G150" s="11">
        <f>IF(Table1[[#This Row],[date]]&lt;B149,"",(Table1[[#This Row],[european_earnings_index_raw]]-F149)/F149)</f>
        <v>5.3914886283665878E-2</v>
      </c>
      <c r="H150" s="2">
        <f>_xlfn.IFNA(Table1[[#This Row],[annual_net_earnings_raw]], 0)</f>
        <v>5487</v>
      </c>
      <c r="I150" s="11"/>
    </row>
    <row r="151" spans="1:9" x14ac:dyDescent="0.25">
      <c r="A151" t="s">
        <v>28</v>
      </c>
      <c r="B151" t="s">
        <v>3</v>
      </c>
      <c r="C151">
        <v>56.1</v>
      </c>
      <c r="D151" s="3">
        <f>(100-Table1[[#This Row],[price_level_index]])/100</f>
        <v>0.439</v>
      </c>
      <c r="E151" s="2">
        <v>6076</v>
      </c>
      <c r="F151" s="9">
        <f>Table1[[#This Row],[annual_net_earnings_raw]]+(Table1[[#This Row],[annual_net_earnings_raw]]*Table1[[#This Row],[price_level_index_mean_deviance]])</f>
        <v>8743.3639999999996</v>
      </c>
      <c r="G151" s="11">
        <f>IF(Table1[[#This Row],[date]]&lt;B150,"",(Table1[[#This Row],[european_earnings_index_raw]]-F150)/F150)</f>
        <v>0.10657564344005008</v>
      </c>
      <c r="H151" s="2">
        <f>_xlfn.IFNA(Table1[[#This Row],[annual_net_earnings_raw]], 0)</f>
        <v>6076</v>
      </c>
      <c r="I151" s="11"/>
    </row>
    <row r="152" spans="1:9" x14ac:dyDescent="0.25">
      <c r="A152" t="s">
        <v>28</v>
      </c>
      <c r="B152" t="s">
        <v>4</v>
      </c>
      <c r="C152">
        <v>56.8</v>
      </c>
      <c r="D152" s="3">
        <f>(100-Table1[[#This Row],[price_level_index]])/100</f>
        <v>0.43200000000000005</v>
      </c>
      <c r="E152" s="2">
        <v>6554</v>
      </c>
      <c r="F152" s="9">
        <f>Table1[[#This Row],[annual_net_earnings_raw]]+(Table1[[#This Row],[annual_net_earnings_raw]]*Table1[[#This Row],[price_level_index_mean_deviance]])</f>
        <v>9385.3280000000013</v>
      </c>
      <c r="G152" s="11">
        <f>IF(Table1[[#This Row],[date]]&lt;B151,"",(Table1[[#This Row],[european_earnings_index_raw]]-F151)/F151)</f>
        <v>7.3422998287615823E-2</v>
      </c>
      <c r="H152" s="2">
        <f>_xlfn.IFNA(Table1[[#This Row],[annual_net_earnings_raw]], 0)</f>
        <v>6554</v>
      </c>
      <c r="I152" s="11"/>
    </row>
    <row r="153" spans="1:9" x14ac:dyDescent="0.25">
      <c r="A153" t="s">
        <v>28</v>
      </c>
      <c r="B153" t="s">
        <v>5</v>
      </c>
      <c r="C153">
        <v>58.2</v>
      </c>
      <c r="D153" s="3">
        <f>(100-Table1[[#This Row],[price_level_index]])/100</f>
        <v>0.41799999999999998</v>
      </c>
      <c r="E153" s="2">
        <v>6982</v>
      </c>
      <c r="F153" s="9">
        <f>Table1[[#This Row],[annual_net_earnings_raw]]+(Table1[[#This Row],[annual_net_earnings_raw]]*Table1[[#This Row],[price_level_index_mean_deviance]])</f>
        <v>9900.4759999999987</v>
      </c>
      <c r="G153" s="11">
        <f>IF(Table1[[#This Row],[date]]&lt;B152,"",(Table1[[#This Row],[european_earnings_index_raw]]-F152)/F152)</f>
        <v>5.4888651733854939E-2</v>
      </c>
      <c r="H153" s="2">
        <f>_xlfn.IFNA(Table1[[#This Row],[annual_net_earnings_raw]], 0)</f>
        <v>6982</v>
      </c>
      <c r="I153" s="11"/>
    </row>
    <row r="154" spans="1:9" x14ac:dyDescent="0.25">
      <c r="A154" t="s">
        <v>28</v>
      </c>
      <c r="B154" t="s">
        <v>6</v>
      </c>
      <c r="C154">
        <v>59.9</v>
      </c>
      <c r="D154" s="3">
        <f>(100-Table1[[#This Row],[price_level_index]])/100</f>
        <v>0.40100000000000002</v>
      </c>
      <c r="E154" s="2">
        <v>7715</v>
      </c>
      <c r="F154" s="9">
        <f>Table1[[#This Row],[annual_net_earnings_raw]]+(Table1[[#This Row],[annual_net_earnings_raw]]*Table1[[#This Row],[price_level_index_mean_deviance]])</f>
        <v>10808.715</v>
      </c>
      <c r="G154" s="11">
        <f>IF(Table1[[#This Row],[date]]&lt;B153,"",(Table1[[#This Row],[european_earnings_index_raw]]-F153)/F153)</f>
        <v>9.1736902346917615E-2</v>
      </c>
      <c r="H154" s="2">
        <f>_xlfn.IFNA(Table1[[#This Row],[annual_net_earnings_raw]], 0)</f>
        <v>7715</v>
      </c>
      <c r="I154" s="11"/>
    </row>
    <row r="155" spans="1:9" x14ac:dyDescent="0.25">
      <c r="A155" t="s">
        <v>28</v>
      </c>
      <c r="B155" t="s">
        <v>7</v>
      </c>
      <c r="C155">
        <v>64.2</v>
      </c>
      <c r="D155" s="3">
        <f>(100-Table1[[#This Row],[price_level_index]])/100</f>
        <v>0.35799999999999998</v>
      </c>
      <c r="E155" s="2">
        <v>8695</v>
      </c>
      <c r="F155" s="9">
        <f>Table1[[#This Row],[annual_net_earnings_raw]]+(Table1[[#This Row],[annual_net_earnings_raw]]*Table1[[#This Row],[price_level_index_mean_deviance]])</f>
        <v>11807.81</v>
      </c>
      <c r="G155" s="11">
        <f>IF(Table1[[#This Row],[date]]&lt;B154,"",(Table1[[#This Row],[european_earnings_index_raw]]-F154)/F154)</f>
        <v>9.2434207026459603E-2</v>
      </c>
      <c r="H155" s="2">
        <f>_xlfn.IFNA(Table1[[#This Row],[annual_net_earnings_raw]], 0)</f>
        <v>8695</v>
      </c>
      <c r="I155" s="11"/>
    </row>
    <row r="156" spans="1:9" x14ac:dyDescent="0.25">
      <c r="A156" t="s">
        <v>28</v>
      </c>
      <c r="B156" t="s">
        <v>8</v>
      </c>
      <c r="C156">
        <v>68.099999999999994</v>
      </c>
      <c r="D156" s="3">
        <f>(100-Table1[[#This Row],[price_level_index]])/100</f>
        <v>0.31900000000000006</v>
      </c>
      <c r="E156" s="2">
        <v>9914</v>
      </c>
      <c r="F156" s="9">
        <f>Table1[[#This Row],[annual_net_earnings_raw]]+(Table1[[#This Row],[annual_net_earnings_raw]]*Table1[[#This Row],[price_level_index_mean_deviance]])</f>
        <v>13076.566000000001</v>
      </c>
      <c r="G156" s="11">
        <f>IF(Table1[[#This Row],[date]]&lt;B155,"",(Table1[[#This Row],[european_earnings_index_raw]]-F155)/F155)</f>
        <v>0.10745057720271593</v>
      </c>
      <c r="H156" s="2">
        <f>_xlfn.IFNA(Table1[[#This Row],[annual_net_earnings_raw]], 0)</f>
        <v>9914</v>
      </c>
      <c r="I156" s="11"/>
    </row>
    <row r="157" spans="1:9" x14ac:dyDescent="0.25">
      <c r="A157" t="s">
        <v>28</v>
      </c>
      <c r="B157" t="s">
        <v>9</v>
      </c>
      <c r="C157">
        <v>70.5</v>
      </c>
      <c r="D157" s="3">
        <f>(100-Table1[[#This Row],[price_level_index]])/100</f>
        <v>0.29499999999999998</v>
      </c>
      <c r="E157" s="2">
        <v>10918</v>
      </c>
      <c r="F157" s="9">
        <f>Table1[[#This Row],[annual_net_earnings_raw]]+(Table1[[#This Row],[annual_net_earnings_raw]]*Table1[[#This Row],[price_level_index_mean_deviance]])</f>
        <v>14138.81</v>
      </c>
      <c r="G157" s="11">
        <f>IF(Table1[[#This Row],[date]]&lt;B156,"",(Table1[[#This Row],[european_earnings_index_raw]]-F156)/F156)</f>
        <v>8.1232641658368007E-2</v>
      </c>
      <c r="H157" s="2">
        <f>_xlfn.IFNA(Table1[[#This Row],[annual_net_earnings_raw]], 0)</f>
        <v>10918</v>
      </c>
      <c r="I157" s="11"/>
    </row>
    <row r="158" spans="1:9" x14ac:dyDescent="0.25">
      <c r="A158" t="s">
        <v>28</v>
      </c>
      <c r="B158" t="s">
        <v>10</v>
      </c>
      <c r="C158">
        <v>68.400000000000006</v>
      </c>
      <c r="D158" s="3">
        <f>(100-Table1[[#This Row],[price_level_index]])/100</f>
        <v>0.31599999999999995</v>
      </c>
      <c r="E158" s="2">
        <v>10429</v>
      </c>
      <c r="F158" s="9">
        <f>Table1[[#This Row],[annual_net_earnings_raw]]+(Table1[[#This Row],[annual_net_earnings_raw]]*Table1[[#This Row],[price_level_index_mean_deviance]])</f>
        <v>13724.563999999998</v>
      </c>
      <c r="G158" s="11">
        <f>IF(Table1[[#This Row],[date]]&lt;B157,"",(Table1[[#This Row],[european_earnings_index_raw]]-F157)/F157)</f>
        <v>-2.9298505319754704E-2</v>
      </c>
      <c r="H158" s="2">
        <f>_xlfn.IFNA(Table1[[#This Row],[annual_net_earnings_raw]], 0)</f>
        <v>10429</v>
      </c>
      <c r="I158" s="11"/>
    </row>
    <row r="159" spans="1:9" x14ac:dyDescent="0.25">
      <c r="A159" t="s">
        <v>28</v>
      </c>
      <c r="B159" t="s">
        <v>11</v>
      </c>
      <c r="C159">
        <v>67.400000000000006</v>
      </c>
      <c r="D159" s="3">
        <f>(100-Table1[[#This Row],[price_level_index]])/100</f>
        <v>0.32599999999999996</v>
      </c>
      <c r="E159" s="2">
        <v>10704</v>
      </c>
      <c r="F159" s="9">
        <f>Table1[[#This Row],[annual_net_earnings_raw]]+(Table1[[#This Row],[annual_net_earnings_raw]]*Table1[[#This Row],[price_level_index_mean_deviance]])</f>
        <v>14193.503999999999</v>
      </c>
      <c r="G159" s="11">
        <f>IF(Table1[[#This Row],[date]]&lt;B158,"",(Table1[[#This Row],[european_earnings_index_raw]]-F158)/F158)</f>
        <v>3.4167934223630021E-2</v>
      </c>
      <c r="H159" s="2">
        <f>_xlfn.IFNA(Table1[[#This Row],[annual_net_earnings_raw]], 0)</f>
        <v>10704</v>
      </c>
      <c r="I159" s="11"/>
    </row>
    <row r="160" spans="1:9" x14ac:dyDescent="0.25">
      <c r="A160" t="s">
        <v>28</v>
      </c>
      <c r="B160" t="s">
        <v>12</v>
      </c>
      <c r="C160">
        <v>68.599999999999994</v>
      </c>
      <c r="D160" s="3">
        <f>(100-Table1[[#This Row],[price_level_index]])/100</f>
        <v>0.31400000000000006</v>
      </c>
      <c r="E160" s="2">
        <v>11211</v>
      </c>
      <c r="F160" s="9">
        <f>Table1[[#This Row],[annual_net_earnings_raw]]+(Table1[[#This Row],[annual_net_earnings_raw]]*Table1[[#This Row],[price_level_index_mean_deviance]])</f>
        <v>14731.254000000001</v>
      </c>
      <c r="G160" s="11">
        <f>IF(Table1[[#This Row],[date]]&lt;B159,"",(Table1[[#This Row],[european_earnings_index_raw]]-F159)/F159)</f>
        <v>3.7887050301321071E-2</v>
      </c>
      <c r="H160" s="2">
        <f>_xlfn.IFNA(Table1[[#This Row],[annual_net_earnings_raw]], 0)</f>
        <v>11211</v>
      </c>
      <c r="I160" s="11"/>
    </row>
    <row r="161" spans="1:9" x14ac:dyDescent="0.25">
      <c r="A161" t="s">
        <v>28</v>
      </c>
      <c r="B161" t="s">
        <v>13</v>
      </c>
      <c r="C161">
        <v>69.8</v>
      </c>
      <c r="D161" s="3">
        <f>(100-Table1[[#This Row],[price_level_index]])/100</f>
        <v>0.30200000000000005</v>
      </c>
      <c r="E161" s="2">
        <v>11669</v>
      </c>
      <c r="F161" s="9">
        <f>Table1[[#This Row],[annual_net_earnings_raw]]+(Table1[[#This Row],[annual_net_earnings_raw]]*Table1[[#This Row],[price_level_index_mean_deviance]])</f>
        <v>15193.038</v>
      </c>
      <c r="G161" s="11">
        <f>IF(Table1[[#This Row],[date]]&lt;B160,"",(Table1[[#This Row],[european_earnings_index_raw]]-F160)/F160)</f>
        <v>3.1347229502661458E-2</v>
      </c>
      <c r="H161" s="2">
        <f>_xlfn.IFNA(Table1[[#This Row],[annual_net_earnings_raw]], 0)</f>
        <v>11669</v>
      </c>
      <c r="I161" s="11"/>
    </row>
    <row r="162" spans="1:9" x14ac:dyDescent="0.25">
      <c r="A162" t="s">
        <v>28</v>
      </c>
      <c r="B162" t="s">
        <v>14</v>
      </c>
      <c r="C162">
        <v>71.900000000000006</v>
      </c>
      <c r="D162" s="3">
        <f>(100-Table1[[#This Row],[price_level_index]])/100</f>
        <v>0.28099999999999992</v>
      </c>
      <c r="E162" s="2">
        <v>12299</v>
      </c>
      <c r="F162" s="9">
        <f>Table1[[#This Row],[annual_net_earnings_raw]]+(Table1[[#This Row],[annual_net_earnings_raw]]*Table1[[#This Row],[price_level_index_mean_deviance]])</f>
        <v>15755.018999999998</v>
      </c>
      <c r="G162" s="11">
        <f>IF(Table1[[#This Row],[date]]&lt;B161,"",(Table1[[#This Row],[european_earnings_index_raw]]-F161)/F161)</f>
        <v>3.6989376318284591E-2</v>
      </c>
      <c r="H162" s="2">
        <f>_xlfn.IFNA(Table1[[#This Row],[annual_net_earnings_raw]], 0)</f>
        <v>12299</v>
      </c>
      <c r="I162" s="11"/>
    </row>
    <row r="163" spans="1:9" x14ac:dyDescent="0.25">
      <c r="A163" t="s">
        <v>28</v>
      </c>
      <c r="B163" t="s">
        <v>15</v>
      </c>
      <c r="C163">
        <v>72.8</v>
      </c>
      <c r="D163" s="3">
        <f>(100-Table1[[#This Row],[price_level_index]])/100</f>
        <v>0.27200000000000002</v>
      </c>
      <c r="E163" s="2">
        <v>12796</v>
      </c>
      <c r="F163" s="9">
        <f>Table1[[#This Row],[annual_net_earnings_raw]]+(Table1[[#This Row],[annual_net_earnings_raw]]*Table1[[#This Row],[price_level_index_mean_deviance]])</f>
        <v>16276.512000000001</v>
      </c>
      <c r="G163" s="11">
        <f>IF(Table1[[#This Row],[date]]&lt;B162,"",(Table1[[#This Row],[european_earnings_index_raw]]-F162)/F162)</f>
        <v>3.3100118762154601E-2</v>
      </c>
      <c r="H163" s="2">
        <f>_xlfn.IFNA(Table1[[#This Row],[annual_net_earnings_raw]], 0)</f>
        <v>12796</v>
      </c>
      <c r="I163" s="11"/>
    </row>
    <row r="164" spans="1:9" x14ac:dyDescent="0.25">
      <c r="A164" t="s">
        <v>28</v>
      </c>
      <c r="B164" t="s">
        <v>16</v>
      </c>
      <c r="C164">
        <v>73.3</v>
      </c>
      <c r="D164" s="3">
        <f>(100-Table1[[#This Row],[price_level_index]])/100</f>
        <v>0.26700000000000002</v>
      </c>
      <c r="E164" s="2">
        <v>13722</v>
      </c>
      <c r="F164" s="9">
        <f>Table1[[#This Row],[annual_net_earnings_raw]]+(Table1[[#This Row],[annual_net_earnings_raw]]*Table1[[#This Row],[price_level_index_mean_deviance]])</f>
        <v>17385.774000000001</v>
      </c>
      <c r="G164" s="11">
        <f>IF(Table1[[#This Row],[date]]&lt;B163,"",(Table1[[#This Row],[european_earnings_index_raw]]-F163)/F163)</f>
        <v>6.8151087898930721E-2</v>
      </c>
      <c r="H164" s="2">
        <f>_xlfn.IFNA(Table1[[#This Row],[annual_net_earnings_raw]], 0)</f>
        <v>13722</v>
      </c>
      <c r="I164" s="11"/>
    </row>
    <row r="165" spans="1:9" x14ac:dyDescent="0.25">
      <c r="A165" t="s">
        <v>28</v>
      </c>
      <c r="B165" t="s">
        <v>17</v>
      </c>
      <c r="C165">
        <v>74.599999999999994</v>
      </c>
      <c r="D165" s="3">
        <f>(100-Table1[[#This Row],[price_level_index]])/100</f>
        <v>0.25400000000000006</v>
      </c>
      <c r="E165" s="2">
        <v>14536</v>
      </c>
      <c r="F165" s="9">
        <f>Table1[[#This Row],[annual_net_earnings_raw]]+(Table1[[#This Row],[annual_net_earnings_raw]]*Table1[[#This Row],[price_level_index_mean_deviance]])</f>
        <v>18228.144</v>
      </c>
      <c r="G165" s="11">
        <f>IF(Table1[[#This Row],[date]]&lt;B164,"",(Table1[[#This Row],[european_earnings_index_raw]]-F164)/F164)</f>
        <v>4.8451682392742418E-2</v>
      </c>
      <c r="H165" s="2">
        <f>_xlfn.IFNA(Table1[[#This Row],[annual_net_earnings_raw]], 0)</f>
        <v>14536</v>
      </c>
      <c r="I165" s="11"/>
    </row>
    <row r="166" spans="1:9" x14ac:dyDescent="0.25">
      <c r="A166" t="s">
        <v>28</v>
      </c>
      <c r="B166" t="s">
        <v>18</v>
      </c>
      <c r="C166">
        <v>77</v>
      </c>
      <c r="D166" s="3">
        <f>(100-Table1[[#This Row],[price_level_index]])/100</f>
        <v>0.23</v>
      </c>
      <c r="E166" s="2">
        <v>15125</v>
      </c>
      <c r="F166" s="9">
        <f>Table1[[#This Row],[annual_net_earnings_raw]]+(Table1[[#This Row],[annual_net_earnings_raw]]*Table1[[#This Row],[price_level_index_mean_deviance]])</f>
        <v>18603.75</v>
      </c>
      <c r="G166" s="11">
        <f>IF(Table1[[#This Row],[date]]&lt;B165,"",(Table1[[#This Row],[european_earnings_index_raw]]-F165)/F165)</f>
        <v>2.0605827998725474E-2</v>
      </c>
      <c r="H166" s="2">
        <f>_xlfn.IFNA(Table1[[#This Row],[annual_net_earnings_raw]], 0)</f>
        <v>15125</v>
      </c>
      <c r="I166" s="11"/>
    </row>
    <row r="167" spans="1:9" x14ac:dyDescent="0.25">
      <c r="A167" t="s">
        <v>28</v>
      </c>
      <c r="B167" t="s">
        <v>19</v>
      </c>
      <c r="C167">
        <v>79.599999999999994</v>
      </c>
      <c r="D167" s="3">
        <f>(100-Table1[[#This Row],[price_level_index]])/100</f>
        <v>0.20400000000000007</v>
      </c>
      <c r="E167" s="2">
        <v>16188</v>
      </c>
      <c r="F167" s="9">
        <f>Table1[[#This Row],[annual_net_earnings_raw]]+(Table1[[#This Row],[annual_net_earnings_raw]]*Table1[[#This Row],[price_level_index_mean_deviance]])</f>
        <v>19490.352000000003</v>
      </c>
      <c r="G167" s="11">
        <f>IF(Table1[[#This Row],[date]]&lt;B166,"",(Table1[[#This Row],[european_earnings_index_raw]]-F166)/F166)</f>
        <v>4.7657165893973126E-2</v>
      </c>
      <c r="H167" s="2">
        <f>_xlfn.IFNA(Table1[[#This Row],[annual_net_earnings_raw]], 0)</f>
        <v>16188</v>
      </c>
      <c r="I167" s="11"/>
    </row>
    <row r="168" spans="1:9" x14ac:dyDescent="0.25">
      <c r="A168" t="s">
        <v>28</v>
      </c>
      <c r="B168" t="s">
        <v>20</v>
      </c>
      <c r="C168">
        <v>82</v>
      </c>
      <c r="D168" s="3">
        <f>(100-Table1[[#This Row],[price_level_index]])/100</f>
        <v>0.18</v>
      </c>
      <c r="E168" s="2">
        <v>16686</v>
      </c>
      <c r="F168" s="9">
        <f>Table1[[#This Row],[annual_net_earnings_raw]]+(Table1[[#This Row],[annual_net_earnings_raw]]*Table1[[#This Row],[price_level_index_mean_deviance]])</f>
        <v>19689.48</v>
      </c>
      <c r="G168" s="11">
        <f>IF(Table1[[#This Row],[date]]&lt;B167,"",(Table1[[#This Row],[european_earnings_index_raw]]-F167)/F167)</f>
        <v>1.0216747239864982E-2</v>
      </c>
      <c r="H168" s="2">
        <f>_xlfn.IFNA(Table1[[#This Row],[annual_net_earnings_raw]], 0)</f>
        <v>16686</v>
      </c>
      <c r="I168" s="11"/>
    </row>
    <row r="169" spans="1:9" x14ac:dyDescent="0.25">
      <c r="A169" t="s">
        <v>28</v>
      </c>
      <c r="B169" t="s">
        <v>21</v>
      </c>
      <c r="C169">
        <v>81.400000000000006</v>
      </c>
      <c r="D169" s="3">
        <f>(100-Table1[[#This Row],[price_level_index]])/100</f>
        <v>0.18599999999999994</v>
      </c>
      <c r="E169" s="2">
        <v>17087</v>
      </c>
      <c r="F169" s="9">
        <f>Table1[[#This Row],[annual_net_earnings_raw]]+(Table1[[#This Row],[annual_net_earnings_raw]]*Table1[[#This Row],[price_level_index_mean_deviance]])</f>
        <v>20265.182000000001</v>
      </c>
      <c r="G169" s="11">
        <f>IF(Table1[[#This Row],[date]]&lt;B168,"",(Table1[[#This Row],[european_earnings_index_raw]]-F168)/F168)</f>
        <v>2.9239065734595386E-2</v>
      </c>
      <c r="H169" s="2">
        <f>_xlfn.IFNA(Table1[[#This Row],[annual_net_earnings_raw]], 0)</f>
        <v>17087</v>
      </c>
      <c r="I169" s="11"/>
    </row>
    <row r="170" spans="1:9" x14ac:dyDescent="0.25">
      <c r="A170" t="s">
        <v>29</v>
      </c>
      <c r="B170" t="s">
        <v>1</v>
      </c>
      <c r="C170">
        <v>126.1</v>
      </c>
      <c r="D170" s="3">
        <f>(100-Table1[[#This Row],[price_level_index]])/100</f>
        <v>-0.26099999999999995</v>
      </c>
      <c r="E170" s="2">
        <v>13788</v>
      </c>
      <c r="F170" s="9">
        <f>Table1[[#This Row],[annual_net_earnings_raw]]+(Table1[[#This Row],[annual_net_earnings_raw]]*Table1[[#This Row],[price_level_index_mean_deviance]])</f>
        <v>10189.332</v>
      </c>
      <c r="G170" s="11" t="str">
        <f>IF(Table1[[#This Row],[date]]&lt;B169,"",(Table1[[#This Row],[european_earnings_index_raw]]-F169)/F169)</f>
        <v/>
      </c>
      <c r="H170" s="2">
        <f>_xlfn.IFNA(Table1[[#This Row],[annual_net_earnings_raw]], 0)</f>
        <v>13788</v>
      </c>
      <c r="I170" s="11"/>
    </row>
    <row r="171" spans="1:9" x14ac:dyDescent="0.25">
      <c r="A171" t="s">
        <v>29</v>
      </c>
      <c r="B171" t="s">
        <v>2</v>
      </c>
      <c r="C171">
        <v>129.5</v>
      </c>
      <c r="D171" s="3">
        <f>(100-Table1[[#This Row],[price_level_index]])/100</f>
        <v>-0.29499999999999998</v>
      </c>
      <c r="E171" s="2">
        <v>14283</v>
      </c>
      <c r="F171" s="9">
        <f>Table1[[#This Row],[annual_net_earnings_raw]]+(Table1[[#This Row],[annual_net_earnings_raw]]*Table1[[#This Row],[price_level_index_mean_deviance]])</f>
        <v>10069.514999999999</v>
      </c>
      <c r="G171" s="11">
        <f>IF(Table1[[#This Row],[date]]&lt;B170,"",(Table1[[#This Row],[european_earnings_index_raw]]-F170)/F170)</f>
        <v>-1.1759063302677831E-2</v>
      </c>
      <c r="H171" s="2">
        <f>_xlfn.IFNA(Table1[[#This Row],[annual_net_earnings_raw]], 0)</f>
        <v>14283</v>
      </c>
      <c r="I171" s="11"/>
    </row>
    <row r="172" spans="1:9" x14ac:dyDescent="0.25">
      <c r="A172" t="s">
        <v>29</v>
      </c>
      <c r="B172" t="s">
        <v>3</v>
      </c>
      <c r="C172">
        <v>129.9</v>
      </c>
      <c r="D172" s="3">
        <f>(100-Table1[[#This Row],[price_level_index]])/100</f>
        <v>-0.29900000000000004</v>
      </c>
      <c r="E172" s="2">
        <v>15111</v>
      </c>
      <c r="F172" s="9">
        <f>Table1[[#This Row],[annual_net_earnings_raw]]+(Table1[[#This Row],[annual_net_earnings_raw]]*Table1[[#This Row],[price_level_index_mean_deviance]])</f>
        <v>10592.811</v>
      </c>
      <c r="G172" s="11">
        <f>IF(Table1[[#This Row],[date]]&lt;B171,"",(Table1[[#This Row],[european_earnings_index_raw]]-F171)/F171)</f>
        <v>5.1968342070099732E-2</v>
      </c>
      <c r="H172" s="2">
        <f>_xlfn.IFNA(Table1[[#This Row],[annual_net_earnings_raw]], 0)</f>
        <v>15111</v>
      </c>
      <c r="I172" s="11"/>
    </row>
    <row r="173" spans="1:9" x14ac:dyDescent="0.25">
      <c r="A173" t="s">
        <v>29</v>
      </c>
      <c r="B173" t="s">
        <v>4</v>
      </c>
      <c r="C173">
        <v>130.1</v>
      </c>
      <c r="D173" s="3">
        <f>(100-Table1[[#This Row],[price_level_index]])/100</f>
        <v>-0.30099999999999993</v>
      </c>
      <c r="E173" s="2">
        <v>15666</v>
      </c>
      <c r="F173" s="9">
        <f>Table1[[#This Row],[annual_net_earnings_raw]]+(Table1[[#This Row],[annual_net_earnings_raw]]*Table1[[#This Row],[price_level_index_mean_deviance]])</f>
        <v>10950.534000000001</v>
      </c>
      <c r="G173" s="11">
        <f>IF(Table1[[#This Row],[date]]&lt;B172,"",(Table1[[#This Row],[european_earnings_index_raw]]-F172)/F172)</f>
        <v>3.377035614059401E-2</v>
      </c>
      <c r="H173" s="2">
        <f>_xlfn.IFNA(Table1[[#This Row],[annual_net_earnings_raw]], 0)</f>
        <v>15666</v>
      </c>
      <c r="I173" s="11"/>
    </row>
    <row r="174" spans="1:9" x14ac:dyDescent="0.25">
      <c r="A174" t="s">
        <v>29</v>
      </c>
      <c r="B174" t="s">
        <v>5</v>
      </c>
      <c r="C174">
        <v>127.4</v>
      </c>
      <c r="D174" s="3">
        <f>(100-Table1[[#This Row],[price_level_index]])/100</f>
        <v>-0.27400000000000008</v>
      </c>
      <c r="E174" s="2">
        <v>16815</v>
      </c>
      <c r="F174" s="9">
        <f>Table1[[#This Row],[annual_net_earnings_raw]]+(Table1[[#This Row],[annual_net_earnings_raw]]*Table1[[#This Row],[price_level_index_mean_deviance]])</f>
        <v>12207.689999999999</v>
      </c>
      <c r="G174" s="11">
        <f>IF(Table1[[#This Row],[date]]&lt;B173,"",(Table1[[#This Row],[european_earnings_index_raw]]-F173)/F173)</f>
        <v>0.1148031685030152</v>
      </c>
      <c r="H174" s="2">
        <f>_xlfn.IFNA(Table1[[#This Row],[annual_net_earnings_raw]], 0)</f>
        <v>16815</v>
      </c>
      <c r="I174" s="11"/>
    </row>
    <row r="175" spans="1:9" x14ac:dyDescent="0.25">
      <c r="A175" t="s">
        <v>29</v>
      </c>
      <c r="B175" t="s">
        <v>6</v>
      </c>
      <c r="C175">
        <v>127.3</v>
      </c>
      <c r="D175" s="3">
        <f>(100-Table1[[#This Row],[price_level_index]])/100</f>
        <v>-0.27299999999999996</v>
      </c>
      <c r="E175" s="2">
        <v>17515</v>
      </c>
      <c r="F175" s="9">
        <f>Table1[[#This Row],[annual_net_earnings_raw]]+(Table1[[#This Row],[annual_net_earnings_raw]]*Table1[[#This Row],[price_level_index_mean_deviance]])</f>
        <v>12733.405000000001</v>
      </c>
      <c r="G175" s="11">
        <f>IF(Table1[[#This Row],[date]]&lt;B174,"",(Table1[[#This Row],[european_earnings_index_raw]]-F174)/F174)</f>
        <v>4.3064248846424021E-2</v>
      </c>
      <c r="H175" s="2">
        <f>_xlfn.IFNA(Table1[[#This Row],[annual_net_earnings_raw]], 0)</f>
        <v>17515</v>
      </c>
      <c r="I175" s="11"/>
    </row>
    <row r="176" spans="1:9" x14ac:dyDescent="0.25">
      <c r="A176" t="s">
        <v>29</v>
      </c>
      <c r="B176" t="s">
        <v>7</v>
      </c>
      <c r="C176">
        <v>125.1</v>
      </c>
      <c r="D176" s="3">
        <f>(100-Table1[[#This Row],[price_level_index]])/100</f>
        <v>-0.25099999999999995</v>
      </c>
      <c r="E176" s="2">
        <v>18707</v>
      </c>
      <c r="F176" s="9">
        <f>Table1[[#This Row],[annual_net_earnings_raw]]+(Table1[[#This Row],[annual_net_earnings_raw]]*Table1[[#This Row],[price_level_index_mean_deviance]])</f>
        <v>14011.543000000001</v>
      </c>
      <c r="G176" s="11">
        <f>IF(Table1[[#This Row],[date]]&lt;B175,"",(Table1[[#This Row],[european_earnings_index_raw]]-F175)/F175)</f>
        <v>0.10037676489517146</v>
      </c>
      <c r="H176" s="2">
        <f>_xlfn.IFNA(Table1[[#This Row],[annual_net_earnings_raw]], 0)</f>
        <v>18707</v>
      </c>
      <c r="I176" s="11"/>
    </row>
    <row r="177" spans="1:9" x14ac:dyDescent="0.25">
      <c r="A177" t="s">
        <v>29</v>
      </c>
      <c r="B177" t="s">
        <v>8</v>
      </c>
      <c r="C177">
        <v>121</v>
      </c>
      <c r="D177" s="3">
        <f>(100-Table1[[#This Row],[price_level_index]])/100</f>
        <v>-0.21</v>
      </c>
      <c r="E177" s="2">
        <v>20515</v>
      </c>
      <c r="F177" s="9">
        <f>Table1[[#This Row],[annual_net_earnings_raw]]+(Table1[[#This Row],[annual_net_earnings_raw]]*Table1[[#This Row],[price_level_index_mean_deviance]])</f>
        <v>16206.85</v>
      </c>
      <c r="G177" s="11">
        <f>IF(Table1[[#This Row],[date]]&lt;B176,"",(Table1[[#This Row],[european_earnings_index_raw]]-F176)/F176)</f>
        <v>0.15667846146566433</v>
      </c>
      <c r="H177" s="2">
        <f>_xlfn.IFNA(Table1[[#This Row],[annual_net_earnings_raw]], 0)</f>
        <v>20515</v>
      </c>
      <c r="I177" s="11"/>
    </row>
    <row r="178" spans="1:9" x14ac:dyDescent="0.25">
      <c r="A178" t="s">
        <v>29</v>
      </c>
      <c r="B178" t="s">
        <v>9</v>
      </c>
      <c r="C178">
        <v>120.6</v>
      </c>
      <c r="D178" s="3">
        <f>(100-Table1[[#This Row],[price_level_index]])/100</f>
        <v>-0.20599999999999993</v>
      </c>
      <c r="E178" s="2">
        <v>21700</v>
      </c>
      <c r="F178" s="9">
        <f>Table1[[#This Row],[annual_net_earnings_raw]]+(Table1[[#This Row],[annual_net_earnings_raw]]*Table1[[#This Row],[price_level_index_mean_deviance]])</f>
        <v>17229.800000000003</v>
      </c>
      <c r="G178" s="11">
        <f>IF(Table1[[#This Row],[date]]&lt;B177,"",(Table1[[#This Row],[european_earnings_index_raw]]-F177)/F177)</f>
        <v>6.3118372786815605E-2</v>
      </c>
      <c r="H178" s="2">
        <f>_xlfn.IFNA(Table1[[#This Row],[annual_net_earnings_raw]], 0)</f>
        <v>21700</v>
      </c>
      <c r="I178" s="11"/>
    </row>
    <row r="179" spans="1:9" x14ac:dyDescent="0.25">
      <c r="A179" t="s">
        <v>29</v>
      </c>
      <c r="B179" t="s">
        <v>10</v>
      </c>
      <c r="C179">
        <v>122.6</v>
      </c>
      <c r="D179" s="3">
        <f>(100-Table1[[#This Row],[price_level_index]])/100</f>
        <v>-0.22599999999999995</v>
      </c>
      <c r="E179" s="2">
        <v>22316</v>
      </c>
      <c r="F179" s="9">
        <f>Table1[[#This Row],[annual_net_earnings_raw]]+(Table1[[#This Row],[annual_net_earnings_raw]]*Table1[[#This Row],[price_level_index_mean_deviance]])</f>
        <v>17272.584000000003</v>
      </c>
      <c r="G179" s="11">
        <f>IF(Table1[[#This Row],[date]]&lt;B178,"",(Table1[[#This Row],[european_earnings_index_raw]]-F178)/F178)</f>
        <v>2.4831396766067885E-3</v>
      </c>
      <c r="H179" s="2">
        <f>_xlfn.IFNA(Table1[[#This Row],[annual_net_earnings_raw]], 0)</f>
        <v>22316</v>
      </c>
      <c r="I179" s="11"/>
    </row>
    <row r="180" spans="1:9" x14ac:dyDescent="0.25">
      <c r="A180" t="s">
        <v>29</v>
      </c>
      <c r="B180" t="s">
        <v>11</v>
      </c>
      <c r="C180">
        <v>122.8</v>
      </c>
      <c r="D180" s="3">
        <f>(100-Table1[[#This Row],[price_level_index]])/100</f>
        <v>-0.22799999999999998</v>
      </c>
      <c r="E180" s="2">
        <v>22810</v>
      </c>
      <c r="F180" s="9">
        <f>Table1[[#This Row],[annual_net_earnings_raw]]+(Table1[[#This Row],[annual_net_earnings_raw]]*Table1[[#This Row],[price_level_index_mean_deviance]])</f>
        <v>17609.32</v>
      </c>
      <c r="G180" s="11">
        <f>IF(Table1[[#This Row],[date]]&lt;B179,"",(Table1[[#This Row],[european_earnings_index_raw]]-F179)/F179)</f>
        <v>1.9495403814507262E-2</v>
      </c>
      <c r="H180" s="2">
        <f>_xlfn.IFNA(Table1[[#This Row],[annual_net_earnings_raw]], 0)</f>
        <v>22810</v>
      </c>
      <c r="I180" s="11"/>
    </row>
    <row r="181" spans="1:9" x14ac:dyDescent="0.25">
      <c r="A181" t="s">
        <v>29</v>
      </c>
      <c r="B181" t="s">
        <v>12</v>
      </c>
      <c r="C181">
        <v>124</v>
      </c>
      <c r="D181" s="3">
        <f>(100-Table1[[#This Row],[price_level_index]])/100</f>
        <v>-0.24</v>
      </c>
      <c r="E181" s="2">
        <v>23104</v>
      </c>
      <c r="F181" s="9">
        <f>Table1[[#This Row],[annual_net_earnings_raw]]+(Table1[[#This Row],[annual_net_earnings_raw]]*Table1[[#This Row],[price_level_index_mean_deviance]])</f>
        <v>17559.04</v>
      </c>
      <c r="G181" s="11">
        <f>IF(Table1[[#This Row],[date]]&lt;B180,"",(Table1[[#This Row],[european_earnings_index_raw]]-F180)/F180)</f>
        <v>-2.8553061674158249E-3</v>
      </c>
      <c r="H181" s="2">
        <f>_xlfn.IFNA(Table1[[#This Row],[annual_net_earnings_raw]], 0)</f>
        <v>23104</v>
      </c>
      <c r="I181" s="11"/>
    </row>
    <row r="182" spans="1:9" x14ac:dyDescent="0.25">
      <c r="A182" t="s">
        <v>29</v>
      </c>
      <c r="B182" t="s">
        <v>13</v>
      </c>
      <c r="C182">
        <v>125.9</v>
      </c>
      <c r="D182" s="3">
        <f>(100-Table1[[#This Row],[price_level_index]])/100</f>
        <v>-0.25900000000000006</v>
      </c>
      <c r="E182" s="2">
        <v>23385</v>
      </c>
      <c r="F182" s="9">
        <f>Table1[[#This Row],[annual_net_earnings_raw]]+(Table1[[#This Row],[annual_net_earnings_raw]]*Table1[[#This Row],[price_level_index_mean_deviance]])</f>
        <v>17328.285</v>
      </c>
      <c r="G182" s="11">
        <f>IF(Table1[[#This Row],[date]]&lt;B181,"",(Table1[[#This Row],[european_earnings_index_raw]]-F181)/F181)</f>
        <v>-1.3141663781163493E-2</v>
      </c>
      <c r="H182" s="2">
        <f>_xlfn.IFNA(Table1[[#This Row],[annual_net_earnings_raw]], 0)</f>
        <v>23385</v>
      </c>
      <c r="I182" s="11"/>
    </row>
    <row r="183" spans="1:9" x14ac:dyDescent="0.25">
      <c r="A183" t="s">
        <v>29</v>
      </c>
      <c r="B183" t="s">
        <v>14</v>
      </c>
      <c r="C183">
        <v>127.7</v>
      </c>
      <c r="D183" s="3">
        <f>(100-Table1[[#This Row],[price_level_index]])/100</f>
        <v>-0.27700000000000002</v>
      </c>
      <c r="E183" s="2">
        <v>23502</v>
      </c>
      <c r="F183" s="9">
        <f>Table1[[#This Row],[annual_net_earnings_raw]]+(Table1[[#This Row],[annual_net_earnings_raw]]*Table1[[#This Row],[price_level_index_mean_deviance]])</f>
        <v>16991.946</v>
      </c>
      <c r="G183" s="11">
        <f>IF(Table1[[#This Row],[date]]&lt;B182,"",(Table1[[#This Row],[european_earnings_index_raw]]-F182)/F182)</f>
        <v>-1.9409826188800564E-2</v>
      </c>
      <c r="H183" s="2">
        <f>_xlfn.IFNA(Table1[[#This Row],[annual_net_earnings_raw]], 0)</f>
        <v>23502</v>
      </c>
      <c r="I183" s="11"/>
    </row>
    <row r="184" spans="1:9" x14ac:dyDescent="0.25">
      <c r="A184" t="s">
        <v>29</v>
      </c>
      <c r="B184" t="s">
        <v>15</v>
      </c>
      <c r="C184">
        <v>128</v>
      </c>
      <c r="D184" s="3">
        <f>(100-Table1[[#This Row],[price_level_index]])/100</f>
        <v>-0.28000000000000003</v>
      </c>
      <c r="E184" s="2">
        <v>23418</v>
      </c>
      <c r="F184" s="9">
        <f>Table1[[#This Row],[annual_net_earnings_raw]]+(Table1[[#This Row],[annual_net_earnings_raw]]*Table1[[#This Row],[price_level_index_mean_deviance]])</f>
        <v>16860.96</v>
      </c>
      <c r="G184" s="11">
        <f>IF(Table1[[#This Row],[date]]&lt;B183,"",(Table1[[#This Row],[european_earnings_index_raw]]-F183)/F183)</f>
        <v>-7.7087109387000636E-3</v>
      </c>
      <c r="H184" s="2">
        <f>_xlfn.IFNA(Table1[[#This Row],[annual_net_earnings_raw]], 0)</f>
        <v>23418</v>
      </c>
      <c r="I184" s="11"/>
    </row>
    <row r="185" spans="1:9" x14ac:dyDescent="0.25">
      <c r="A185" t="s">
        <v>29</v>
      </c>
      <c r="B185" t="s">
        <v>16</v>
      </c>
      <c r="C185">
        <v>127.3</v>
      </c>
      <c r="D185" s="3">
        <f>(100-Table1[[#This Row],[price_level_index]])/100</f>
        <v>-0.27299999999999996</v>
      </c>
      <c r="E185" s="2">
        <v>23769</v>
      </c>
      <c r="F185" s="9">
        <f>Table1[[#This Row],[annual_net_earnings_raw]]+(Table1[[#This Row],[annual_net_earnings_raw]]*Table1[[#This Row],[price_level_index_mean_deviance]])</f>
        <v>17280.063000000002</v>
      </c>
      <c r="G185" s="11">
        <f>IF(Table1[[#This Row],[date]]&lt;B184,"",(Table1[[#This Row],[european_earnings_index_raw]]-F184)/F184)</f>
        <v>2.4856413869673067E-2</v>
      </c>
      <c r="H185" s="2">
        <f>_xlfn.IFNA(Table1[[#This Row],[annual_net_earnings_raw]], 0)</f>
        <v>23769</v>
      </c>
      <c r="I185" s="11"/>
    </row>
    <row r="186" spans="1:9" x14ac:dyDescent="0.25">
      <c r="A186" t="s">
        <v>29</v>
      </c>
      <c r="B186" t="s">
        <v>17</v>
      </c>
      <c r="C186">
        <v>127.8</v>
      </c>
      <c r="D186" s="3">
        <f>(100-Table1[[#This Row],[price_level_index]])/100</f>
        <v>-0.27799999999999997</v>
      </c>
      <c r="E186" s="2">
        <v>24032</v>
      </c>
      <c r="F186" s="9">
        <f>Table1[[#This Row],[annual_net_earnings_raw]]+(Table1[[#This Row],[annual_net_earnings_raw]]*Table1[[#This Row],[price_level_index_mean_deviance]])</f>
        <v>17351.103999999999</v>
      </c>
      <c r="G186" s="11">
        <f>IF(Table1[[#This Row],[date]]&lt;B185,"",(Table1[[#This Row],[european_earnings_index_raw]]-F185)/F185)</f>
        <v>4.111153992899067E-3</v>
      </c>
      <c r="H186" s="2">
        <f>_xlfn.IFNA(Table1[[#This Row],[annual_net_earnings_raw]], 0)</f>
        <v>24032</v>
      </c>
      <c r="I186" s="11"/>
    </row>
    <row r="187" spans="1:9" x14ac:dyDescent="0.25">
      <c r="A187" t="s">
        <v>29</v>
      </c>
      <c r="B187" t="s">
        <v>18</v>
      </c>
      <c r="C187">
        <v>126.3</v>
      </c>
      <c r="D187" s="3">
        <f>(100-Table1[[#This Row],[price_level_index]])/100</f>
        <v>-0.26299999999999996</v>
      </c>
      <c r="E187" s="2">
        <v>24616</v>
      </c>
      <c r="F187" s="9">
        <f>Table1[[#This Row],[annual_net_earnings_raw]]+(Table1[[#This Row],[annual_net_earnings_raw]]*Table1[[#This Row],[price_level_index_mean_deviance]])</f>
        <v>18141.992000000002</v>
      </c>
      <c r="G187" s="11">
        <f>IF(Table1[[#This Row],[date]]&lt;B186,"",(Table1[[#This Row],[european_earnings_index_raw]]-F186)/F186)</f>
        <v>4.5581422369435555E-2</v>
      </c>
      <c r="H187" s="2">
        <f>_xlfn.IFNA(Table1[[#This Row],[annual_net_earnings_raw]], 0)</f>
        <v>24616</v>
      </c>
      <c r="I187" s="11"/>
    </row>
    <row r="188" spans="1:9" x14ac:dyDescent="0.25">
      <c r="A188" t="s">
        <v>29</v>
      </c>
      <c r="B188" t="s">
        <v>19</v>
      </c>
      <c r="C188">
        <v>126.7</v>
      </c>
      <c r="D188" s="3">
        <f>(100-Table1[[#This Row],[price_level_index]])/100</f>
        <v>-0.26700000000000002</v>
      </c>
      <c r="E188" s="2">
        <v>24972</v>
      </c>
      <c r="F188" s="9">
        <f>Table1[[#This Row],[annual_net_earnings_raw]]+(Table1[[#This Row],[annual_net_earnings_raw]]*Table1[[#This Row],[price_level_index_mean_deviance]])</f>
        <v>18304.475999999999</v>
      </c>
      <c r="G188" s="11">
        <f>IF(Table1[[#This Row],[date]]&lt;B187,"",(Table1[[#This Row],[european_earnings_index_raw]]-F187)/F187)</f>
        <v>8.9562381021883776E-3</v>
      </c>
      <c r="H188" s="2">
        <f>_xlfn.IFNA(Table1[[#This Row],[annual_net_earnings_raw]], 0)</f>
        <v>24972</v>
      </c>
      <c r="I188" s="11"/>
    </row>
    <row r="189" spans="1:9" x14ac:dyDescent="0.25">
      <c r="A189" t="s">
        <v>29</v>
      </c>
      <c r="B189" t="s">
        <v>20</v>
      </c>
      <c r="C189">
        <v>128.5</v>
      </c>
      <c r="D189" s="3">
        <f>(100-Table1[[#This Row],[price_level_index]])/100</f>
        <v>-0.28499999999999998</v>
      </c>
      <c r="E189" s="2">
        <v>25438</v>
      </c>
      <c r="F189" s="9">
        <f>Table1[[#This Row],[annual_net_earnings_raw]]+(Table1[[#This Row],[annual_net_earnings_raw]]*Table1[[#This Row],[price_level_index_mean_deviance]])</f>
        <v>18188.170000000002</v>
      </c>
      <c r="G189" s="11">
        <f>IF(Table1[[#This Row],[date]]&lt;B188,"",(Table1[[#This Row],[european_earnings_index_raw]]-F188)/F188)</f>
        <v>-6.3539650083398657E-3</v>
      </c>
      <c r="H189" s="2">
        <f>_xlfn.IFNA(Table1[[#This Row],[annual_net_earnings_raw]], 0)</f>
        <v>25438</v>
      </c>
      <c r="I189" s="11"/>
    </row>
    <row r="190" spans="1:9" x14ac:dyDescent="0.25">
      <c r="A190" t="s">
        <v>29</v>
      </c>
      <c r="B190" t="s">
        <v>21</v>
      </c>
      <c r="C190">
        <v>128.30000000000001</v>
      </c>
      <c r="D190" s="3">
        <f>(100-Table1[[#This Row],[price_level_index]])/100</f>
        <v>-0.28300000000000014</v>
      </c>
      <c r="E190" s="2">
        <v>26260</v>
      </c>
      <c r="F190" s="9">
        <f>Table1[[#This Row],[annual_net_earnings_raw]]+(Table1[[#This Row],[annual_net_earnings_raw]]*Table1[[#This Row],[price_level_index_mean_deviance]])</f>
        <v>18828.419999999998</v>
      </c>
      <c r="G190" s="11">
        <f>IF(Table1[[#This Row],[date]]&lt;B189,"",(Table1[[#This Row],[european_earnings_index_raw]]-F189)/F189)</f>
        <v>3.520145237261342E-2</v>
      </c>
      <c r="H190" s="2">
        <f>_xlfn.IFNA(Table1[[#This Row],[annual_net_earnings_raw]], 0)</f>
        <v>26260</v>
      </c>
      <c r="I190" s="11"/>
    </row>
    <row r="191" spans="1:9" x14ac:dyDescent="0.25">
      <c r="A191" t="s">
        <v>30</v>
      </c>
      <c r="B191" t="s">
        <v>1</v>
      </c>
      <c r="C191">
        <v>109.8</v>
      </c>
      <c r="D191" s="3">
        <f>(100-Table1[[#This Row],[price_level_index]])/100</f>
        <v>-9.7999999999999976E-2</v>
      </c>
      <c r="E191" s="2">
        <v>17149</v>
      </c>
      <c r="F191" s="9">
        <f>Table1[[#This Row],[annual_net_earnings_raw]]+(Table1[[#This Row],[annual_net_earnings_raw]]*Table1[[#This Row],[price_level_index_mean_deviance]])</f>
        <v>15468.398000000001</v>
      </c>
      <c r="G191" s="11" t="str">
        <f>IF(Table1[[#This Row],[date]]&lt;B190,"",(Table1[[#This Row],[european_earnings_index_raw]]-F190)/F190)</f>
        <v/>
      </c>
      <c r="H191" s="2">
        <f>_xlfn.IFNA(Table1[[#This Row],[annual_net_earnings_raw]], 0)</f>
        <v>17149</v>
      </c>
      <c r="I191" s="11"/>
    </row>
    <row r="192" spans="1:9" x14ac:dyDescent="0.25">
      <c r="A192" t="s">
        <v>30</v>
      </c>
      <c r="B192" t="s">
        <v>2</v>
      </c>
      <c r="C192">
        <v>107.7</v>
      </c>
      <c r="D192" s="3">
        <f>(100-Table1[[#This Row],[price_level_index]])/100</f>
        <v>-7.7000000000000027E-2</v>
      </c>
      <c r="E192" s="2">
        <v>18085</v>
      </c>
      <c r="F192" s="9">
        <f>Table1[[#This Row],[annual_net_earnings_raw]]+(Table1[[#This Row],[annual_net_earnings_raw]]*Table1[[#This Row],[price_level_index_mean_deviance]])</f>
        <v>16692.454999999998</v>
      </c>
      <c r="G192" s="11">
        <f>IF(Table1[[#This Row],[date]]&lt;B191,"",(Table1[[#This Row],[european_earnings_index_raw]]-F191)/F191)</f>
        <v>7.9132758285634819E-2</v>
      </c>
      <c r="H192" s="2">
        <f>_xlfn.IFNA(Table1[[#This Row],[annual_net_earnings_raw]], 0)</f>
        <v>18085</v>
      </c>
      <c r="I192" s="11"/>
    </row>
    <row r="193" spans="1:9" x14ac:dyDescent="0.25">
      <c r="A193" t="s">
        <v>30</v>
      </c>
      <c r="B193" t="s">
        <v>3</v>
      </c>
      <c r="C193">
        <v>107.6</v>
      </c>
      <c r="D193" s="3">
        <f>(100-Table1[[#This Row],[price_level_index]])/100</f>
        <v>-7.5999999999999943E-2</v>
      </c>
      <c r="E193" s="2">
        <v>18743</v>
      </c>
      <c r="F193" s="9">
        <f>Table1[[#This Row],[annual_net_earnings_raw]]+(Table1[[#This Row],[annual_net_earnings_raw]]*Table1[[#This Row],[price_level_index_mean_deviance]])</f>
        <v>17318.531999999999</v>
      </c>
      <c r="G193" s="11">
        <f>IF(Table1[[#This Row],[date]]&lt;B192,"",(Table1[[#This Row],[european_earnings_index_raw]]-F192)/F192)</f>
        <v>3.7506586059390376E-2</v>
      </c>
      <c r="H193" s="2">
        <f>_xlfn.IFNA(Table1[[#This Row],[annual_net_earnings_raw]], 0)</f>
        <v>18743</v>
      </c>
      <c r="I193" s="11"/>
    </row>
    <row r="194" spans="1:9" x14ac:dyDescent="0.25">
      <c r="A194" t="s">
        <v>30</v>
      </c>
      <c r="B194" t="s">
        <v>4</v>
      </c>
      <c r="C194">
        <v>111.1</v>
      </c>
      <c r="D194" s="3">
        <f>(100-Table1[[#This Row],[price_level_index]])/100</f>
        <v>-0.11099999999999995</v>
      </c>
      <c r="E194" s="2">
        <v>18560</v>
      </c>
      <c r="F194" s="9">
        <f>Table1[[#This Row],[annual_net_earnings_raw]]+(Table1[[#This Row],[annual_net_earnings_raw]]*Table1[[#This Row],[price_level_index_mean_deviance]])</f>
        <v>16499.84</v>
      </c>
      <c r="G194" s="11">
        <f>IF(Table1[[#This Row],[date]]&lt;B193,"",(Table1[[#This Row],[european_earnings_index_raw]]-F193)/F193)</f>
        <v>-4.7272597931510542E-2</v>
      </c>
      <c r="H194" s="2">
        <f>_xlfn.IFNA(Table1[[#This Row],[annual_net_earnings_raw]], 0)</f>
        <v>18560</v>
      </c>
      <c r="I194" s="11"/>
    </row>
    <row r="195" spans="1:9" x14ac:dyDescent="0.25">
      <c r="A195" t="s">
        <v>30</v>
      </c>
      <c r="B195" t="s">
        <v>5</v>
      </c>
      <c r="C195">
        <v>112.7</v>
      </c>
      <c r="D195" s="3">
        <f>(100-Table1[[#This Row],[price_level_index]])/100</f>
        <v>-0.12700000000000003</v>
      </c>
      <c r="E195" s="2">
        <v>18844</v>
      </c>
      <c r="F195" s="9">
        <f>Table1[[#This Row],[annual_net_earnings_raw]]+(Table1[[#This Row],[annual_net_earnings_raw]]*Table1[[#This Row],[price_level_index_mean_deviance]])</f>
        <v>16450.811999999998</v>
      </c>
      <c r="G195" s="11">
        <f>IF(Table1[[#This Row],[date]]&lt;B194,"",(Table1[[#This Row],[european_earnings_index_raw]]-F194)/F194)</f>
        <v>-2.9714227531904593E-3</v>
      </c>
      <c r="H195" s="2">
        <f>_xlfn.IFNA(Table1[[#This Row],[annual_net_earnings_raw]], 0)</f>
        <v>18844</v>
      </c>
      <c r="I195" s="11"/>
    </row>
    <row r="196" spans="1:9" x14ac:dyDescent="0.25">
      <c r="A196" t="s">
        <v>30</v>
      </c>
      <c r="B196" t="s">
        <v>6</v>
      </c>
      <c r="C196">
        <v>110.4</v>
      </c>
      <c r="D196" s="3">
        <f>(100-Table1[[#This Row],[price_level_index]])/100</f>
        <v>-0.10400000000000005</v>
      </c>
      <c r="E196" s="2">
        <v>19755</v>
      </c>
      <c r="F196" s="9">
        <f>Table1[[#This Row],[annual_net_earnings_raw]]+(Table1[[#This Row],[annual_net_earnings_raw]]*Table1[[#This Row],[price_level_index_mean_deviance]])</f>
        <v>17700.48</v>
      </c>
      <c r="G196" s="11">
        <f>IF(Table1[[#This Row],[date]]&lt;B195,"",(Table1[[#This Row],[european_earnings_index_raw]]-F195)/F195)</f>
        <v>7.5963909866576904E-2</v>
      </c>
      <c r="H196" s="2">
        <f>_xlfn.IFNA(Table1[[#This Row],[annual_net_earnings_raw]], 0)</f>
        <v>19755</v>
      </c>
      <c r="I196" s="11"/>
    </row>
    <row r="197" spans="1:9" x14ac:dyDescent="0.25">
      <c r="A197" t="s">
        <v>30</v>
      </c>
      <c r="B197" t="s">
        <v>7</v>
      </c>
      <c r="C197">
        <v>111.2</v>
      </c>
      <c r="D197" s="3">
        <f>(100-Table1[[#This Row],[price_level_index]])/100</f>
        <v>-0.11200000000000003</v>
      </c>
      <c r="E197" s="2">
        <v>20512</v>
      </c>
      <c r="F197" s="9">
        <f>Table1[[#This Row],[annual_net_earnings_raw]]+(Table1[[#This Row],[annual_net_earnings_raw]]*Table1[[#This Row],[price_level_index_mean_deviance]])</f>
        <v>18214.655999999999</v>
      </c>
      <c r="G197" s="11">
        <f>IF(Table1[[#This Row],[date]]&lt;B196,"",(Table1[[#This Row],[european_earnings_index_raw]]-F196)/F196)</f>
        <v>2.9048703763965695E-2</v>
      </c>
      <c r="H197" s="2">
        <f>_xlfn.IFNA(Table1[[#This Row],[annual_net_earnings_raw]], 0)</f>
        <v>20512</v>
      </c>
      <c r="I197" s="11"/>
    </row>
    <row r="198" spans="1:9" x14ac:dyDescent="0.25">
      <c r="A198" t="s">
        <v>30</v>
      </c>
      <c r="B198" t="s">
        <v>8</v>
      </c>
      <c r="C198">
        <v>111.2</v>
      </c>
      <c r="D198" s="3">
        <f>(100-Table1[[#This Row],[price_level_index]])/100</f>
        <v>-0.11200000000000003</v>
      </c>
      <c r="E198" s="2">
        <v>21191</v>
      </c>
      <c r="F198" s="9">
        <f>Table1[[#This Row],[annual_net_earnings_raw]]+(Table1[[#This Row],[annual_net_earnings_raw]]*Table1[[#This Row],[price_level_index_mean_deviance]])</f>
        <v>18817.608</v>
      </c>
      <c r="G198" s="11">
        <f>IF(Table1[[#This Row],[date]]&lt;B197,"",(Table1[[#This Row],[european_earnings_index_raw]]-F197)/F197)</f>
        <v>3.3102574102964182E-2</v>
      </c>
      <c r="H198" s="2">
        <f>_xlfn.IFNA(Table1[[#This Row],[annual_net_earnings_raw]], 0)</f>
        <v>21191</v>
      </c>
      <c r="I198" s="11"/>
    </row>
    <row r="199" spans="1:9" x14ac:dyDescent="0.25">
      <c r="A199" t="s">
        <v>30</v>
      </c>
      <c r="B199" t="s">
        <v>9</v>
      </c>
      <c r="C199">
        <v>112.1</v>
      </c>
      <c r="D199" s="3">
        <f>(100-Table1[[#This Row],[price_level_index]])/100</f>
        <v>-0.12099999999999994</v>
      </c>
      <c r="E199" s="2">
        <v>21684</v>
      </c>
      <c r="F199" s="9">
        <f>Table1[[#This Row],[annual_net_earnings_raw]]+(Table1[[#This Row],[annual_net_earnings_raw]]*Table1[[#This Row],[price_level_index_mean_deviance]])</f>
        <v>19060.236000000001</v>
      </c>
      <c r="G199" s="11">
        <f>IF(Table1[[#This Row],[date]]&lt;B198,"",(Table1[[#This Row],[european_earnings_index_raw]]-F198)/F198)</f>
        <v>1.2893668525776529E-2</v>
      </c>
      <c r="H199" s="2">
        <f>_xlfn.IFNA(Table1[[#This Row],[annual_net_earnings_raw]], 0)</f>
        <v>21684</v>
      </c>
      <c r="I199" s="11"/>
    </row>
    <row r="200" spans="1:9" x14ac:dyDescent="0.25">
      <c r="A200" t="s">
        <v>30</v>
      </c>
      <c r="B200" t="s">
        <v>10</v>
      </c>
      <c r="C200">
        <v>112.7</v>
      </c>
      <c r="D200" s="3">
        <f>(100-Table1[[#This Row],[price_level_index]])/100</f>
        <v>-0.12700000000000003</v>
      </c>
      <c r="E200" s="2">
        <v>21913</v>
      </c>
      <c r="F200" s="9">
        <f>Table1[[#This Row],[annual_net_earnings_raw]]+(Table1[[#This Row],[annual_net_earnings_raw]]*Table1[[#This Row],[price_level_index_mean_deviance]])</f>
        <v>19130.048999999999</v>
      </c>
      <c r="G200" s="11">
        <f>IF(Table1[[#This Row],[date]]&lt;B199,"",(Table1[[#This Row],[european_earnings_index_raw]]-F199)/F199)</f>
        <v>3.6627563268365766E-3</v>
      </c>
      <c r="H200" s="2">
        <f>_xlfn.IFNA(Table1[[#This Row],[annual_net_earnings_raw]], 0)</f>
        <v>21913</v>
      </c>
      <c r="I200" s="11"/>
    </row>
    <row r="201" spans="1:9" x14ac:dyDescent="0.25">
      <c r="A201" t="s">
        <v>30</v>
      </c>
      <c r="B201" t="s">
        <v>11</v>
      </c>
      <c r="C201">
        <v>112.1</v>
      </c>
      <c r="D201" s="3">
        <f>(100-Table1[[#This Row],[price_level_index]])/100</f>
        <v>-0.12099999999999994</v>
      </c>
      <c r="E201" s="2">
        <v>22400</v>
      </c>
      <c r="F201" s="9">
        <f>Table1[[#This Row],[annual_net_earnings_raw]]+(Table1[[#This Row],[annual_net_earnings_raw]]*Table1[[#This Row],[price_level_index_mean_deviance]])</f>
        <v>19689.600000000002</v>
      </c>
      <c r="G201" s="11">
        <f>IF(Table1[[#This Row],[date]]&lt;B200,"",(Table1[[#This Row],[european_earnings_index_raw]]-F200)/F200)</f>
        <v>2.9249846667930811E-2</v>
      </c>
      <c r="H201" s="2">
        <f>_xlfn.IFNA(Table1[[#This Row],[annual_net_earnings_raw]], 0)</f>
        <v>22400</v>
      </c>
      <c r="I201" s="11"/>
    </row>
    <row r="202" spans="1:9" x14ac:dyDescent="0.25">
      <c r="A202" t="s">
        <v>30</v>
      </c>
      <c r="B202" t="s">
        <v>12</v>
      </c>
      <c r="C202">
        <v>111.8</v>
      </c>
      <c r="D202" s="3">
        <f>(100-Table1[[#This Row],[price_level_index]])/100</f>
        <v>-0.11799999999999997</v>
      </c>
      <c r="E202" s="2">
        <v>22940</v>
      </c>
      <c r="F202" s="9">
        <f>Table1[[#This Row],[annual_net_earnings_raw]]+(Table1[[#This Row],[annual_net_earnings_raw]]*Table1[[#This Row],[price_level_index_mean_deviance]])</f>
        <v>20233.080000000002</v>
      </c>
      <c r="G202" s="11">
        <f>IF(Table1[[#This Row],[date]]&lt;B201,"",(Table1[[#This Row],[european_earnings_index_raw]]-F201)/F201)</f>
        <v>2.7602389078498268E-2</v>
      </c>
      <c r="H202" s="2">
        <f>_xlfn.IFNA(Table1[[#This Row],[annual_net_earnings_raw]], 0)</f>
        <v>22940</v>
      </c>
      <c r="I202" s="11"/>
    </row>
    <row r="203" spans="1:9" x14ac:dyDescent="0.25">
      <c r="A203" t="s">
        <v>30</v>
      </c>
      <c r="B203" t="s">
        <v>13</v>
      </c>
      <c r="C203">
        <v>112.3</v>
      </c>
      <c r="D203" s="3">
        <f>(100-Table1[[#This Row],[price_level_index]])/100</f>
        <v>-0.12299999999999997</v>
      </c>
      <c r="E203" s="2">
        <v>23207</v>
      </c>
      <c r="F203" s="9">
        <f>Table1[[#This Row],[annual_net_earnings_raw]]+(Table1[[#This Row],[annual_net_earnings_raw]]*Table1[[#This Row],[price_level_index_mean_deviance]])</f>
        <v>20352.539000000001</v>
      </c>
      <c r="G203" s="11">
        <f>IF(Table1[[#This Row],[date]]&lt;B202,"",(Table1[[#This Row],[european_earnings_index_raw]]-F202)/F202)</f>
        <v>5.9041431161246296E-3</v>
      </c>
      <c r="H203" s="2">
        <f>_xlfn.IFNA(Table1[[#This Row],[annual_net_earnings_raw]], 0)</f>
        <v>23207</v>
      </c>
      <c r="I203" s="11"/>
    </row>
    <row r="204" spans="1:9" x14ac:dyDescent="0.25">
      <c r="A204" t="s">
        <v>30</v>
      </c>
      <c r="B204" t="s">
        <v>14</v>
      </c>
      <c r="C204">
        <v>110.1</v>
      </c>
      <c r="D204" s="3">
        <f>(100-Table1[[#This Row],[price_level_index]])/100</f>
        <v>-0.10099999999999994</v>
      </c>
      <c r="E204" s="2">
        <v>23760</v>
      </c>
      <c r="F204" s="9">
        <f>Table1[[#This Row],[annual_net_earnings_raw]]+(Table1[[#This Row],[annual_net_earnings_raw]]*Table1[[#This Row],[price_level_index_mean_deviance]])</f>
        <v>21360.240000000002</v>
      </c>
      <c r="G204" s="11">
        <f>IF(Table1[[#This Row],[date]]&lt;B203,"",(Table1[[#This Row],[european_earnings_index_raw]]-F203)/F203)</f>
        <v>4.9512299178004322E-2</v>
      </c>
      <c r="H204" s="2">
        <f>_xlfn.IFNA(Table1[[#This Row],[annual_net_earnings_raw]], 0)</f>
        <v>23760</v>
      </c>
      <c r="I204" s="11"/>
    </row>
    <row r="205" spans="1:9" x14ac:dyDescent="0.25">
      <c r="A205" t="s">
        <v>30</v>
      </c>
      <c r="B205" t="s">
        <v>15</v>
      </c>
      <c r="C205">
        <v>110.5</v>
      </c>
      <c r="D205" s="3">
        <f>(100-Table1[[#This Row],[price_level_index]])/100</f>
        <v>-0.105</v>
      </c>
      <c r="E205" s="2">
        <v>23905</v>
      </c>
      <c r="F205" s="9">
        <f>Table1[[#This Row],[annual_net_earnings_raw]]+(Table1[[#This Row],[annual_net_earnings_raw]]*Table1[[#This Row],[price_level_index_mean_deviance]])</f>
        <v>21394.974999999999</v>
      </c>
      <c r="G205" s="11">
        <f>IF(Table1[[#This Row],[date]]&lt;B204,"",(Table1[[#This Row],[european_earnings_index_raw]]-F204)/F204)</f>
        <v>1.6261521406125091E-3</v>
      </c>
      <c r="H205" s="2">
        <f>_xlfn.IFNA(Table1[[#This Row],[annual_net_earnings_raw]], 0)</f>
        <v>23905</v>
      </c>
      <c r="I205" s="11"/>
    </row>
    <row r="206" spans="1:9" x14ac:dyDescent="0.25">
      <c r="A206" t="s">
        <v>30</v>
      </c>
      <c r="B206" t="s">
        <v>16</v>
      </c>
      <c r="C206">
        <v>110.6</v>
      </c>
      <c r="D206" s="3">
        <f>(100-Table1[[#This Row],[price_level_index]])/100</f>
        <v>-0.10599999999999994</v>
      </c>
      <c r="E206" s="2">
        <v>24056</v>
      </c>
      <c r="F206" s="9">
        <f>Table1[[#This Row],[annual_net_earnings_raw]]+(Table1[[#This Row],[annual_net_earnings_raw]]*Table1[[#This Row],[price_level_index_mean_deviance]])</f>
        <v>21506.064000000002</v>
      </c>
      <c r="G206" s="11">
        <f>IF(Table1[[#This Row],[date]]&lt;B205,"",(Table1[[#This Row],[european_earnings_index_raw]]-F205)/F205)</f>
        <v>5.1922939849195241E-3</v>
      </c>
      <c r="H206" s="2">
        <f>_xlfn.IFNA(Table1[[#This Row],[annual_net_earnings_raw]], 0)</f>
        <v>24056</v>
      </c>
      <c r="I206" s="11"/>
    </row>
    <row r="207" spans="1:9" x14ac:dyDescent="0.25">
      <c r="A207" t="s">
        <v>30</v>
      </c>
      <c r="B207" t="s">
        <v>17</v>
      </c>
      <c r="C207">
        <v>110.2</v>
      </c>
      <c r="D207" s="3">
        <f>(100-Table1[[#This Row],[price_level_index]])/100</f>
        <v>-0.10200000000000004</v>
      </c>
      <c r="E207" s="2">
        <v>23905</v>
      </c>
      <c r="F207" s="9">
        <f>Table1[[#This Row],[annual_net_earnings_raw]]+(Table1[[#This Row],[annual_net_earnings_raw]]*Table1[[#This Row],[price_level_index_mean_deviance]])</f>
        <v>21466.69</v>
      </c>
      <c r="G207" s="11">
        <f>IF(Table1[[#This Row],[date]]&lt;B206,"",(Table1[[#This Row],[european_earnings_index_raw]]-F206)/F206)</f>
        <v>-1.8308324573015049E-3</v>
      </c>
      <c r="H207" s="2">
        <f>_xlfn.IFNA(Table1[[#This Row],[annual_net_earnings_raw]], 0)</f>
        <v>23905</v>
      </c>
      <c r="I207" s="11"/>
    </row>
    <row r="208" spans="1:9" x14ac:dyDescent="0.25">
      <c r="A208" t="s">
        <v>30</v>
      </c>
      <c r="B208" t="s">
        <v>18</v>
      </c>
      <c r="C208">
        <v>110.6</v>
      </c>
      <c r="D208" s="3">
        <f>(100-Table1[[#This Row],[price_level_index]])/100</f>
        <v>-0.10599999999999994</v>
      </c>
      <c r="E208" s="2">
        <v>23901</v>
      </c>
      <c r="F208" s="9">
        <f>Table1[[#This Row],[annual_net_earnings_raw]]+(Table1[[#This Row],[annual_net_earnings_raw]]*Table1[[#This Row],[price_level_index_mean_deviance]])</f>
        <v>21367.494000000002</v>
      </c>
      <c r="G208" s="11">
        <f>IF(Table1[[#This Row],[date]]&lt;B207,"",(Table1[[#This Row],[european_earnings_index_raw]]-F207)/F207)</f>
        <v>-4.6209266542720966E-3</v>
      </c>
      <c r="H208" s="2">
        <f>_xlfn.IFNA(Table1[[#This Row],[annual_net_earnings_raw]], 0)</f>
        <v>23901</v>
      </c>
      <c r="I208" s="11"/>
    </row>
    <row r="209" spans="1:9" x14ac:dyDescent="0.25">
      <c r="A209" t="s">
        <v>30</v>
      </c>
      <c r="B209" t="s">
        <v>19</v>
      </c>
      <c r="C209">
        <v>111</v>
      </c>
      <c r="D209" s="3">
        <f>(100-Table1[[#This Row],[price_level_index]])/100</f>
        <v>-0.11</v>
      </c>
      <c r="E209" s="2">
        <v>24276</v>
      </c>
      <c r="F209" s="9">
        <f>Table1[[#This Row],[annual_net_earnings_raw]]+(Table1[[#This Row],[annual_net_earnings_raw]]*Table1[[#This Row],[price_level_index_mean_deviance]])</f>
        <v>21605.64</v>
      </c>
      <c r="G209" s="11">
        <f>IF(Table1[[#This Row],[date]]&lt;B208,"",(Table1[[#This Row],[european_earnings_index_raw]]-F208)/F208)</f>
        <v>1.1145247074832313E-2</v>
      </c>
      <c r="H209" s="2">
        <f>_xlfn.IFNA(Table1[[#This Row],[annual_net_earnings_raw]], 0)</f>
        <v>24276</v>
      </c>
      <c r="I209" s="11"/>
    </row>
    <row r="210" spans="1:9" x14ac:dyDescent="0.25">
      <c r="A210" t="s">
        <v>30</v>
      </c>
      <c r="B210" t="s">
        <v>20</v>
      </c>
      <c r="C210">
        <v>109.7</v>
      </c>
      <c r="D210" s="3">
        <f>(100-Table1[[#This Row],[price_level_index]])/100</f>
        <v>-9.7000000000000031E-2</v>
      </c>
      <c r="E210" s="2">
        <v>24811</v>
      </c>
      <c r="F210" s="9">
        <f>Table1[[#This Row],[annual_net_earnings_raw]]+(Table1[[#This Row],[annual_net_earnings_raw]]*Table1[[#This Row],[price_level_index_mean_deviance]])</f>
        <v>22404.332999999999</v>
      </c>
      <c r="G210" s="11">
        <f>IF(Table1[[#This Row],[date]]&lt;B209,"",(Table1[[#This Row],[european_earnings_index_raw]]-F209)/F209)</f>
        <v>3.6966875315889706E-2</v>
      </c>
      <c r="H210" s="2">
        <f>_xlfn.IFNA(Table1[[#This Row],[annual_net_earnings_raw]], 0)</f>
        <v>24811</v>
      </c>
      <c r="I210" s="11"/>
    </row>
    <row r="211" spans="1:9" x14ac:dyDescent="0.25">
      <c r="A211" t="s">
        <v>30</v>
      </c>
      <c r="B211" t="s">
        <v>21</v>
      </c>
      <c r="C211">
        <v>108.8</v>
      </c>
      <c r="D211" s="3">
        <f>(100-Table1[[#This Row],[price_level_index]])/100</f>
        <v>-8.7999999999999967E-2</v>
      </c>
      <c r="E211" s="2">
        <v>24322</v>
      </c>
      <c r="F211" s="9">
        <f>Table1[[#This Row],[annual_net_earnings_raw]]+(Table1[[#This Row],[annual_net_earnings_raw]]*Table1[[#This Row],[price_level_index_mean_deviance]])</f>
        <v>22181.664000000001</v>
      </c>
      <c r="G211" s="11">
        <f>IF(Table1[[#This Row],[date]]&lt;B210,"",(Table1[[#This Row],[european_earnings_index_raw]]-F210)/F210)</f>
        <v>-9.9386578480152952E-3</v>
      </c>
      <c r="H211" s="2">
        <f>_xlfn.IFNA(Table1[[#This Row],[annual_net_earnings_raw]], 0)</f>
        <v>24322</v>
      </c>
      <c r="I211" s="11"/>
    </row>
    <row r="212" spans="1:9" x14ac:dyDescent="0.25">
      <c r="A212" t="s">
        <v>31</v>
      </c>
      <c r="B212" t="s">
        <v>1</v>
      </c>
      <c r="C212">
        <v>111.9</v>
      </c>
      <c r="D212" s="3">
        <f>(100-Table1[[#This Row],[price_level_index]])/100</f>
        <v>-0.11900000000000005</v>
      </c>
      <c r="E212" s="2">
        <v>17578</v>
      </c>
      <c r="F212" s="9">
        <f>Table1[[#This Row],[annual_net_earnings_raw]]+(Table1[[#This Row],[annual_net_earnings_raw]]*Table1[[#This Row],[price_level_index_mean_deviance]])</f>
        <v>15486.217999999999</v>
      </c>
      <c r="G212" s="11" t="str">
        <f>IF(Table1[[#This Row],[date]]&lt;B211,"",(Table1[[#This Row],[european_earnings_index_raw]]-F211)/F211)</f>
        <v/>
      </c>
      <c r="H212" s="2">
        <f>_xlfn.IFNA(Table1[[#This Row],[annual_net_earnings_raw]], 0)</f>
        <v>17578</v>
      </c>
      <c r="I212" s="11"/>
    </row>
    <row r="213" spans="1:9" x14ac:dyDescent="0.25">
      <c r="A213" t="s">
        <v>31</v>
      </c>
      <c r="B213" t="s">
        <v>2</v>
      </c>
      <c r="C213">
        <v>111.6</v>
      </c>
      <c r="D213" s="3">
        <f>(100-Table1[[#This Row],[price_level_index]])/100</f>
        <v>-0.11599999999999994</v>
      </c>
      <c r="E213" s="2">
        <v>18427</v>
      </c>
      <c r="F213" s="9">
        <f>Table1[[#This Row],[annual_net_earnings_raw]]+(Table1[[#This Row],[annual_net_earnings_raw]]*Table1[[#This Row],[price_level_index_mean_deviance]])</f>
        <v>16289.468000000001</v>
      </c>
      <c r="G213" s="11">
        <f>IF(Table1[[#This Row],[date]]&lt;B212,"",(Table1[[#This Row],[european_earnings_index_raw]]-F212)/F212)</f>
        <v>5.1868700285634742E-2</v>
      </c>
      <c r="H213" s="2">
        <f>_xlfn.IFNA(Table1[[#This Row],[annual_net_earnings_raw]], 0)</f>
        <v>18427</v>
      </c>
      <c r="I213" s="11"/>
    </row>
    <row r="214" spans="1:9" x14ac:dyDescent="0.25">
      <c r="A214" t="s">
        <v>31</v>
      </c>
      <c r="B214" t="s">
        <v>3</v>
      </c>
      <c r="C214">
        <v>111.2</v>
      </c>
      <c r="D214" s="3">
        <f>(100-Table1[[#This Row],[price_level_index]])/100</f>
        <v>-0.11200000000000003</v>
      </c>
      <c r="E214" s="2">
        <v>18861</v>
      </c>
      <c r="F214" s="9">
        <f>Table1[[#This Row],[annual_net_earnings_raw]]+(Table1[[#This Row],[annual_net_earnings_raw]]*Table1[[#This Row],[price_level_index_mean_deviance]])</f>
        <v>16748.567999999999</v>
      </c>
      <c r="G214" s="11">
        <f>IF(Table1[[#This Row],[date]]&lt;B213,"",(Table1[[#This Row],[european_earnings_index_raw]]-F213)/F213)</f>
        <v>2.8183854745900759E-2</v>
      </c>
      <c r="H214" s="2">
        <f>_xlfn.IFNA(Table1[[#This Row],[annual_net_earnings_raw]], 0)</f>
        <v>18861</v>
      </c>
      <c r="I214" s="11"/>
    </row>
    <row r="215" spans="1:9" x14ac:dyDescent="0.25">
      <c r="A215" t="s">
        <v>31</v>
      </c>
      <c r="B215" t="s">
        <v>4</v>
      </c>
      <c r="C215">
        <v>108.7</v>
      </c>
      <c r="D215" s="3">
        <f>(100-Table1[[#This Row],[price_level_index]])/100</f>
        <v>-8.7000000000000022E-2</v>
      </c>
      <c r="E215" s="2">
        <v>19197</v>
      </c>
      <c r="F215" s="9">
        <f>Table1[[#This Row],[annual_net_earnings_raw]]+(Table1[[#This Row],[annual_net_earnings_raw]]*Table1[[#This Row],[price_level_index_mean_deviance]])</f>
        <v>17526.861000000001</v>
      </c>
      <c r="G215" s="11">
        <f>IF(Table1[[#This Row],[date]]&lt;B214,"",(Table1[[#This Row],[european_earnings_index_raw]]-F214)/F214)</f>
        <v>4.6469226503424145E-2</v>
      </c>
      <c r="H215" s="2">
        <f>_xlfn.IFNA(Table1[[#This Row],[annual_net_earnings_raw]], 0)</f>
        <v>19197</v>
      </c>
      <c r="I215" s="11"/>
    </row>
    <row r="216" spans="1:9" x14ac:dyDescent="0.25">
      <c r="A216" t="s">
        <v>31</v>
      </c>
      <c r="B216" t="s">
        <v>5</v>
      </c>
      <c r="C216">
        <v>107.2</v>
      </c>
      <c r="D216" s="3">
        <f>(100-Table1[[#This Row],[price_level_index]])/100</f>
        <v>-7.2000000000000022E-2</v>
      </c>
      <c r="E216" s="2">
        <v>20351</v>
      </c>
      <c r="F216" s="9">
        <f>Table1[[#This Row],[annual_net_earnings_raw]]+(Table1[[#This Row],[annual_net_earnings_raw]]*Table1[[#This Row],[price_level_index_mean_deviance]])</f>
        <v>18885.727999999999</v>
      </c>
      <c r="G216" s="11">
        <f>IF(Table1[[#This Row],[date]]&lt;B215,"",(Table1[[#This Row],[european_earnings_index_raw]]-F215)/F215)</f>
        <v>7.7530540123528016E-2</v>
      </c>
      <c r="H216" s="2">
        <f>_xlfn.IFNA(Table1[[#This Row],[annual_net_earnings_raw]], 0)</f>
        <v>20351</v>
      </c>
      <c r="I216" s="11"/>
    </row>
    <row r="217" spans="1:9" x14ac:dyDescent="0.25">
      <c r="A217" t="s">
        <v>31</v>
      </c>
      <c r="B217" t="s">
        <v>6</v>
      </c>
      <c r="C217">
        <v>106.5</v>
      </c>
      <c r="D217" s="3">
        <f>(100-Table1[[#This Row],[price_level_index]])/100</f>
        <v>-6.5000000000000002E-2</v>
      </c>
      <c r="E217" s="2">
        <v>20824</v>
      </c>
      <c r="F217" s="9">
        <f>Table1[[#This Row],[annual_net_earnings_raw]]+(Table1[[#This Row],[annual_net_earnings_raw]]*Table1[[#This Row],[price_level_index_mean_deviance]])</f>
        <v>19470.439999999999</v>
      </c>
      <c r="G217" s="11">
        <f>IF(Table1[[#This Row],[date]]&lt;B216,"",(Table1[[#This Row],[european_earnings_index_raw]]-F216)/F216)</f>
        <v>3.0960522146670732E-2</v>
      </c>
      <c r="H217" s="2">
        <f>_xlfn.IFNA(Table1[[#This Row],[annual_net_earnings_raw]], 0)</f>
        <v>20824</v>
      </c>
      <c r="I217" s="11"/>
    </row>
    <row r="218" spans="1:9" x14ac:dyDescent="0.25">
      <c r="A218" t="s">
        <v>31</v>
      </c>
      <c r="B218" t="s">
        <v>7</v>
      </c>
      <c r="C218">
        <v>106.1</v>
      </c>
      <c r="D218" s="3">
        <f>(100-Table1[[#This Row],[price_level_index]])/100</f>
        <v>-6.0999999999999943E-2</v>
      </c>
      <c r="E218" s="2">
        <v>21033</v>
      </c>
      <c r="F218" s="9">
        <f>Table1[[#This Row],[annual_net_earnings_raw]]+(Table1[[#This Row],[annual_net_earnings_raw]]*Table1[[#This Row],[price_level_index_mean_deviance]])</f>
        <v>19749.987000000001</v>
      </c>
      <c r="G218" s="11">
        <f>IF(Table1[[#This Row],[date]]&lt;B217,"",(Table1[[#This Row],[european_earnings_index_raw]]-F217)/F217)</f>
        <v>1.4357508099457553E-2</v>
      </c>
      <c r="H218" s="2">
        <f>_xlfn.IFNA(Table1[[#This Row],[annual_net_earnings_raw]], 0)</f>
        <v>21033</v>
      </c>
      <c r="I218" s="11"/>
    </row>
    <row r="219" spans="1:9" x14ac:dyDescent="0.25">
      <c r="A219" t="s">
        <v>31</v>
      </c>
      <c r="B219" t="s">
        <v>8</v>
      </c>
      <c r="C219">
        <v>105.1</v>
      </c>
      <c r="D219" s="3">
        <f>(100-Table1[[#This Row],[price_level_index]])/100</f>
        <v>-5.0999999999999941E-2</v>
      </c>
      <c r="E219" s="2">
        <v>21833</v>
      </c>
      <c r="F219" s="9">
        <f>Table1[[#This Row],[annual_net_earnings_raw]]+(Table1[[#This Row],[annual_net_earnings_raw]]*Table1[[#This Row],[price_level_index_mean_deviance]])</f>
        <v>20719.517</v>
      </c>
      <c r="G219" s="11">
        <f>IF(Table1[[#This Row],[date]]&lt;B218,"",(Table1[[#This Row],[european_earnings_index_raw]]-F218)/F218)</f>
        <v>4.9090158894788072E-2</v>
      </c>
      <c r="H219" s="2">
        <f>_xlfn.IFNA(Table1[[#This Row],[annual_net_earnings_raw]], 0)</f>
        <v>21833</v>
      </c>
      <c r="I219" s="11"/>
    </row>
    <row r="220" spans="1:9" x14ac:dyDescent="0.25">
      <c r="A220" t="s">
        <v>31</v>
      </c>
      <c r="B220" t="s">
        <v>9</v>
      </c>
      <c r="C220">
        <v>104.8</v>
      </c>
      <c r="D220" s="3">
        <f>(100-Table1[[#This Row],[price_level_index]])/100</f>
        <v>-4.7999999999999973E-2</v>
      </c>
      <c r="E220" s="2">
        <v>22505</v>
      </c>
      <c r="F220" s="9">
        <f>Table1[[#This Row],[annual_net_earnings_raw]]+(Table1[[#This Row],[annual_net_earnings_raw]]*Table1[[#This Row],[price_level_index_mean_deviance]])</f>
        <v>21424.760000000002</v>
      </c>
      <c r="G220" s="11">
        <f>IF(Table1[[#This Row],[date]]&lt;B219,"",(Table1[[#This Row],[european_earnings_index_raw]]-F219)/F219)</f>
        <v>3.4037617768792688E-2</v>
      </c>
      <c r="H220" s="2">
        <f>_xlfn.IFNA(Table1[[#This Row],[annual_net_earnings_raw]], 0)</f>
        <v>22505</v>
      </c>
      <c r="I220" s="11"/>
    </row>
    <row r="221" spans="1:9" x14ac:dyDescent="0.25">
      <c r="A221" t="s">
        <v>31</v>
      </c>
      <c r="B221" t="s">
        <v>10</v>
      </c>
      <c r="C221">
        <v>106</v>
      </c>
      <c r="D221" s="3">
        <f>(100-Table1[[#This Row],[price_level_index]])/100</f>
        <v>-0.06</v>
      </c>
      <c r="E221" s="2">
        <v>22313</v>
      </c>
      <c r="F221" s="9">
        <f>Table1[[#This Row],[annual_net_earnings_raw]]+(Table1[[#This Row],[annual_net_earnings_raw]]*Table1[[#This Row],[price_level_index_mean_deviance]])</f>
        <v>20974.22</v>
      </c>
      <c r="G221" s="11">
        <f>IF(Table1[[#This Row],[date]]&lt;B220,"",(Table1[[#This Row],[european_earnings_index_raw]]-F220)/F220)</f>
        <v>-2.1028940347523183E-2</v>
      </c>
      <c r="H221" s="2">
        <f>_xlfn.IFNA(Table1[[#This Row],[annual_net_earnings_raw]], 0)</f>
        <v>22313</v>
      </c>
      <c r="I221" s="11"/>
    </row>
    <row r="222" spans="1:9" x14ac:dyDescent="0.25">
      <c r="A222" t="s">
        <v>31</v>
      </c>
      <c r="B222" t="s">
        <v>11</v>
      </c>
      <c r="C222">
        <v>105.1</v>
      </c>
      <c r="D222" s="3">
        <f>(100-Table1[[#This Row],[price_level_index]])/100</f>
        <v>-5.0999999999999941E-2</v>
      </c>
      <c r="E222" s="2">
        <v>23905</v>
      </c>
      <c r="F222" s="9">
        <f>Table1[[#This Row],[annual_net_earnings_raw]]+(Table1[[#This Row],[annual_net_earnings_raw]]*Table1[[#This Row],[price_level_index_mean_deviance]])</f>
        <v>22685.845000000001</v>
      </c>
      <c r="G222" s="11">
        <f>IF(Table1[[#This Row],[date]]&lt;B221,"",(Table1[[#This Row],[european_earnings_index_raw]]-F221)/F221)</f>
        <v>8.1606133624992958E-2</v>
      </c>
      <c r="H222" s="2">
        <f>_xlfn.IFNA(Table1[[#This Row],[annual_net_earnings_raw]], 0)</f>
        <v>23905</v>
      </c>
      <c r="I222" s="11"/>
    </row>
    <row r="223" spans="1:9" x14ac:dyDescent="0.25">
      <c r="A223" t="s">
        <v>31</v>
      </c>
      <c r="B223" t="s">
        <v>12</v>
      </c>
      <c r="C223">
        <v>104.3</v>
      </c>
      <c r="D223" s="3">
        <f>(100-Table1[[#This Row],[price_level_index]])/100</f>
        <v>-4.2999999999999969E-2</v>
      </c>
      <c r="E223" s="2">
        <v>24866</v>
      </c>
      <c r="F223" s="9">
        <f>Table1[[#This Row],[annual_net_earnings_raw]]+(Table1[[#This Row],[annual_net_earnings_raw]]*Table1[[#This Row],[price_level_index_mean_deviance]])</f>
        <v>23796.762000000002</v>
      </c>
      <c r="G223" s="11">
        <f>IF(Table1[[#This Row],[date]]&lt;B222,"",(Table1[[#This Row],[european_earnings_index_raw]]-F222)/F222)</f>
        <v>4.8969610785932871E-2</v>
      </c>
      <c r="H223" s="2">
        <f>_xlfn.IFNA(Table1[[#This Row],[annual_net_earnings_raw]], 0)</f>
        <v>24866</v>
      </c>
      <c r="I223" s="11"/>
    </row>
    <row r="224" spans="1:9" x14ac:dyDescent="0.25">
      <c r="A224" t="s">
        <v>31</v>
      </c>
      <c r="B224" t="s">
        <v>13</v>
      </c>
      <c r="C224">
        <v>104.5</v>
      </c>
      <c r="D224" s="3">
        <f>(100-Table1[[#This Row],[price_level_index]])/100</f>
        <v>-4.4999999999999998E-2</v>
      </c>
      <c r="E224" s="2">
        <v>25474</v>
      </c>
      <c r="F224" s="9">
        <f>Table1[[#This Row],[annual_net_earnings_raw]]+(Table1[[#This Row],[annual_net_earnings_raw]]*Table1[[#This Row],[price_level_index_mean_deviance]])</f>
        <v>24327.67</v>
      </c>
      <c r="G224" s="11">
        <f>IF(Table1[[#This Row],[date]]&lt;B223,"",(Table1[[#This Row],[european_earnings_index_raw]]-F223)/F223)</f>
        <v>2.2310094121208414E-2</v>
      </c>
      <c r="H224" s="2">
        <f>_xlfn.IFNA(Table1[[#This Row],[annual_net_earnings_raw]], 0)</f>
        <v>25474</v>
      </c>
      <c r="I224" s="11"/>
    </row>
    <row r="225" spans="1:9" x14ac:dyDescent="0.25">
      <c r="A225" t="s">
        <v>31</v>
      </c>
      <c r="B225" t="s">
        <v>14</v>
      </c>
      <c r="C225">
        <v>105.6</v>
      </c>
      <c r="D225" s="3">
        <f>(100-Table1[[#This Row],[price_level_index]])/100</f>
        <v>-5.5999999999999946E-2</v>
      </c>
      <c r="E225" s="2">
        <v>25592</v>
      </c>
      <c r="F225" s="9">
        <f>Table1[[#This Row],[annual_net_earnings_raw]]+(Table1[[#This Row],[annual_net_earnings_raw]]*Table1[[#This Row],[price_level_index_mean_deviance]])</f>
        <v>24158.848000000002</v>
      </c>
      <c r="G225" s="11">
        <f>IF(Table1[[#This Row],[date]]&lt;B224,"",(Table1[[#This Row],[european_earnings_index_raw]]-F224)/F224)</f>
        <v>-6.9395055095698224E-3</v>
      </c>
      <c r="H225" s="2">
        <f>_xlfn.IFNA(Table1[[#This Row],[annual_net_earnings_raw]], 0)</f>
        <v>25592</v>
      </c>
      <c r="I225" s="11"/>
    </row>
    <row r="226" spans="1:9" x14ac:dyDescent="0.25">
      <c r="A226" t="s">
        <v>31</v>
      </c>
      <c r="B226" t="s">
        <v>15</v>
      </c>
      <c r="C226">
        <v>105.7</v>
      </c>
      <c r="D226" s="3">
        <f>(100-Table1[[#This Row],[price_level_index]])/100</f>
        <v>-5.700000000000003E-2</v>
      </c>
      <c r="E226" s="2">
        <v>26212</v>
      </c>
      <c r="F226" s="9">
        <f>Table1[[#This Row],[annual_net_earnings_raw]]+(Table1[[#This Row],[annual_net_earnings_raw]]*Table1[[#This Row],[price_level_index_mean_deviance]])</f>
        <v>24717.915999999997</v>
      </c>
      <c r="G226" s="11">
        <f>IF(Table1[[#This Row],[date]]&lt;B225,"",(Table1[[#This Row],[european_earnings_index_raw]]-F225)/F225)</f>
        <v>2.3141335215983626E-2</v>
      </c>
      <c r="H226" s="2">
        <f>_xlfn.IFNA(Table1[[#This Row],[annual_net_earnings_raw]], 0)</f>
        <v>26212</v>
      </c>
      <c r="I226" s="11"/>
    </row>
    <row r="227" spans="1:9" x14ac:dyDescent="0.25">
      <c r="A227" t="s">
        <v>31</v>
      </c>
      <c r="B227" t="s">
        <v>16</v>
      </c>
      <c r="C227">
        <v>106.8</v>
      </c>
      <c r="D227" s="3">
        <f>(100-Table1[[#This Row],[price_level_index]])/100</f>
        <v>-6.7999999999999977E-2</v>
      </c>
      <c r="E227" s="2">
        <v>26540</v>
      </c>
      <c r="F227" s="9">
        <f>Table1[[#This Row],[annual_net_earnings_raw]]+(Table1[[#This Row],[annual_net_earnings_raw]]*Table1[[#This Row],[price_level_index_mean_deviance]])</f>
        <v>24735.279999999999</v>
      </c>
      <c r="G227" s="11">
        <f>IF(Table1[[#This Row],[date]]&lt;B226,"",(Table1[[#This Row],[european_earnings_index_raw]]-F226)/F226)</f>
        <v>7.024864070256327E-4</v>
      </c>
      <c r="H227" s="2">
        <f>_xlfn.IFNA(Table1[[#This Row],[annual_net_earnings_raw]], 0)</f>
        <v>26540</v>
      </c>
      <c r="I227" s="11"/>
    </row>
    <row r="228" spans="1:9" x14ac:dyDescent="0.25">
      <c r="A228" t="s">
        <v>31</v>
      </c>
      <c r="B228" t="s">
        <v>17</v>
      </c>
      <c r="C228">
        <v>106.6</v>
      </c>
      <c r="D228" s="3">
        <f>(100-Table1[[#This Row],[price_level_index]])/100</f>
        <v>-6.5999999999999948E-2</v>
      </c>
      <c r="E228" s="2">
        <v>27060</v>
      </c>
      <c r="F228" s="9">
        <f>Table1[[#This Row],[annual_net_earnings_raw]]+(Table1[[#This Row],[annual_net_earnings_raw]]*Table1[[#This Row],[price_level_index_mean_deviance]])</f>
        <v>25274.04</v>
      </c>
      <c r="G228" s="11">
        <f>IF(Table1[[#This Row],[date]]&lt;B227,"",(Table1[[#This Row],[european_earnings_index_raw]]-F227)/F227)</f>
        <v>2.17810350236586E-2</v>
      </c>
      <c r="H228" s="2">
        <f>_xlfn.IFNA(Table1[[#This Row],[annual_net_earnings_raw]], 0)</f>
        <v>27060</v>
      </c>
      <c r="I228" s="11"/>
    </row>
    <row r="229" spans="1:9" x14ac:dyDescent="0.25">
      <c r="A229" t="s">
        <v>31</v>
      </c>
      <c r="B229" t="s">
        <v>18</v>
      </c>
      <c r="C229">
        <v>106.5</v>
      </c>
      <c r="D229" s="3">
        <f>(100-Table1[[#This Row],[price_level_index]])/100</f>
        <v>-6.5000000000000002E-2</v>
      </c>
      <c r="E229" s="2">
        <v>27651</v>
      </c>
      <c r="F229" s="9">
        <f>Table1[[#This Row],[annual_net_earnings_raw]]+(Table1[[#This Row],[annual_net_earnings_raw]]*Table1[[#This Row],[price_level_index_mean_deviance]])</f>
        <v>25853.685000000001</v>
      </c>
      <c r="G229" s="11">
        <f>IF(Table1[[#This Row],[date]]&lt;B228,"",(Table1[[#This Row],[european_earnings_index_raw]]-F228)/F228)</f>
        <v>2.2934402256228146E-2</v>
      </c>
      <c r="H229" s="2">
        <f>_xlfn.IFNA(Table1[[#This Row],[annual_net_earnings_raw]], 0)</f>
        <v>27651</v>
      </c>
      <c r="I229" s="11"/>
    </row>
    <row r="230" spans="1:9" x14ac:dyDescent="0.25">
      <c r="A230" t="s">
        <v>31</v>
      </c>
      <c r="B230" t="s">
        <v>19</v>
      </c>
      <c r="C230">
        <v>106.2</v>
      </c>
      <c r="D230" s="3">
        <f>(100-Table1[[#This Row],[price_level_index]])/100</f>
        <v>-6.2000000000000027E-2</v>
      </c>
      <c r="E230" s="2">
        <v>28750</v>
      </c>
      <c r="F230" s="9">
        <f>Table1[[#This Row],[annual_net_earnings_raw]]+(Table1[[#This Row],[annual_net_earnings_raw]]*Table1[[#This Row],[price_level_index_mean_deviance]])</f>
        <v>26967.5</v>
      </c>
      <c r="G230" s="11">
        <f>IF(Table1[[#This Row],[date]]&lt;B229,"",(Table1[[#This Row],[european_earnings_index_raw]]-F229)/F229)</f>
        <v>4.308147948735349E-2</v>
      </c>
      <c r="H230" s="2">
        <f>_xlfn.IFNA(Table1[[#This Row],[annual_net_earnings_raw]], 0)</f>
        <v>28750</v>
      </c>
      <c r="I230" s="11"/>
    </row>
    <row r="231" spans="1:9" x14ac:dyDescent="0.25">
      <c r="A231" t="s">
        <v>31</v>
      </c>
      <c r="B231" t="s">
        <v>20</v>
      </c>
      <c r="C231">
        <v>107.7</v>
      </c>
      <c r="D231" s="3">
        <f>(100-Table1[[#This Row],[price_level_index]])/100</f>
        <v>-7.7000000000000027E-2</v>
      </c>
      <c r="E231" s="2">
        <v>29405</v>
      </c>
      <c r="F231" s="9">
        <f>Table1[[#This Row],[annual_net_earnings_raw]]+(Table1[[#This Row],[annual_net_earnings_raw]]*Table1[[#This Row],[price_level_index_mean_deviance]])</f>
        <v>27140.814999999999</v>
      </c>
      <c r="G231" s="11">
        <f>IF(Table1[[#This Row],[date]]&lt;B230,"",(Table1[[#This Row],[european_earnings_index_raw]]-F230)/F230)</f>
        <v>6.426810049133167E-3</v>
      </c>
      <c r="H231" s="2">
        <f>_xlfn.IFNA(Table1[[#This Row],[annual_net_earnings_raw]], 0)</f>
        <v>29405</v>
      </c>
      <c r="I231" s="11"/>
    </row>
    <row r="232" spans="1:9" x14ac:dyDescent="0.25">
      <c r="A232" t="s">
        <v>31</v>
      </c>
      <c r="B232" t="s">
        <v>21</v>
      </c>
      <c r="C232">
        <v>107.9</v>
      </c>
      <c r="D232" s="3">
        <f>(100-Table1[[#This Row],[price_level_index]])/100</f>
        <v>-7.9000000000000056E-2</v>
      </c>
      <c r="E232" s="2">
        <v>29269</v>
      </c>
      <c r="F232" s="9">
        <f>Table1[[#This Row],[annual_net_earnings_raw]]+(Table1[[#This Row],[annual_net_earnings_raw]]*Table1[[#This Row],[price_level_index_mean_deviance]])</f>
        <v>26956.749</v>
      </c>
      <c r="G232" s="11">
        <f>IF(Table1[[#This Row],[date]]&lt;B231,"",(Table1[[#This Row],[european_earnings_index_raw]]-F231)/F231)</f>
        <v>-6.7818891952949427E-3</v>
      </c>
      <c r="H232" s="2">
        <f>_xlfn.IFNA(Table1[[#This Row],[annual_net_earnings_raw]], 0)</f>
        <v>29269</v>
      </c>
      <c r="I232" s="11"/>
    </row>
    <row r="233" spans="1:9" x14ac:dyDescent="0.25">
      <c r="A233" t="s">
        <v>32</v>
      </c>
      <c r="B233" t="s">
        <v>1</v>
      </c>
      <c r="C233">
        <v>85.5</v>
      </c>
      <c r="D233" s="3">
        <f>(100-Table1[[#This Row],[price_level_index]])/100</f>
        <v>0.14499999999999999</v>
      </c>
      <c r="E233" s="2">
        <v>13739</v>
      </c>
      <c r="F233" s="9">
        <f>Table1[[#This Row],[annual_net_earnings_raw]]+(Table1[[#This Row],[annual_net_earnings_raw]]*Table1[[#This Row],[price_level_index_mean_deviance]])</f>
        <v>15731.155000000001</v>
      </c>
      <c r="G233" s="11" t="str">
        <f>IF(Table1[[#This Row],[date]]&lt;B232,"",(Table1[[#This Row],[european_earnings_index_raw]]-F232)/F232)</f>
        <v/>
      </c>
      <c r="H233" s="2">
        <f>_xlfn.IFNA(Table1[[#This Row],[annual_net_earnings_raw]], 0)</f>
        <v>13739</v>
      </c>
      <c r="I233" s="11"/>
    </row>
    <row r="234" spans="1:9" x14ac:dyDescent="0.25">
      <c r="A234" t="s">
        <v>32</v>
      </c>
      <c r="B234" t="s">
        <v>2</v>
      </c>
      <c r="C234">
        <v>83.6</v>
      </c>
      <c r="D234" s="3">
        <f>(100-Table1[[#This Row],[price_level_index]])/100</f>
        <v>0.16400000000000006</v>
      </c>
      <c r="E234" s="2">
        <v>14526</v>
      </c>
      <c r="F234" s="9">
        <f>Table1[[#This Row],[annual_net_earnings_raw]]+(Table1[[#This Row],[annual_net_earnings_raw]]*Table1[[#This Row],[price_level_index_mean_deviance]])</f>
        <v>16908.264000000003</v>
      </c>
      <c r="G234" s="11">
        <f>IF(Table1[[#This Row],[date]]&lt;B233,"",(Table1[[#This Row],[european_earnings_index_raw]]-F233)/F233)</f>
        <v>7.4826609997803856E-2</v>
      </c>
      <c r="H234" s="2">
        <f>_xlfn.IFNA(Table1[[#This Row],[annual_net_earnings_raw]], 0)</f>
        <v>14526</v>
      </c>
      <c r="I234" s="11"/>
    </row>
    <row r="235" spans="1:9" x14ac:dyDescent="0.25">
      <c r="A235" t="s">
        <v>32</v>
      </c>
      <c r="B235" t="s">
        <v>3</v>
      </c>
      <c r="C235">
        <v>83.1</v>
      </c>
      <c r="D235" s="3">
        <f>(100-Table1[[#This Row],[price_level_index]])/100</f>
        <v>0.16900000000000007</v>
      </c>
      <c r="E235" s="2">
        <v>15980</v>
      </c>
      <c r="F235" s="9">
        <f>Table1[[#This Row],[annual_net_earnings_raw]]+(Table1[[#This Row],[annual_net_earnings_raw]]*Table1[[#This Row],[price_level_index_mean_deviance]])</f>
        <v>18680.620000000003</v>
      </c>
      <c r="G235" s="11">
        <f>IF(Table1[[#This Row],[date]]&lt;B234,"",(Table1[[#This Row],[european_earnings_index_raw]]-F234)/F234)</f>
        <v>0.10482187881618121</v>
      </c>
      <c r="H235" s="2">
        <f>_xlfn.IFNA(Table1[[#This Row],[annual_net_earnings_raw]], 0)</f>
        <v>15980</v>
      </c>
      <c r="I235" s="11"/>
    </row>
    <row r="236" spans="1:9" x14ac:dyDescent="0.25">
      <c r="A236" t="s">
        <v>32</v>
      </c>
      <c r="B236" t="s">
        <v>4</v>
      </c>
      <c r="C236">
        <v>86.6</v>
      </c>
      <c r="D236" s="3">
        <f>(100-Table1[[#This Row],[price_level_index]])/100</f>
        <v>0.13400000000000006</v>
      </c>
      <c r="E236" s="2">
        <v>17139</v>
      </c>
      <c r="F236" s="9">
        <f>Table1[[#This Row],[annual_net_earnings_raw]]+(Table1[[#This Row],[annual_net_earnings_raw]]*Table1[[#This Row],[price_level_index_mean_deviance]])</f>
        <v>19435.626</v>
      </c>
      <c r="G236" s="11">
        <f>IF(Table1[[#This Row],[date]]&lt;B235,"",(Table1[[#This Row],[european_earnings_index_raw]]-F235)/F235)</f>
        <v>4.0416538637368431E-2</v>
      </c>
      <c r="H236" s="2">
        <f>_xlfn.IFNA(Table1[[#This Row],[annual_net_earnings_raw]], 0)</f>
        <v>17139</v>
      </c>
      <c r="I236" s="11"/>
    </row>
    <row r="237" spans="1:9" x14ac:dyDescent="0.25">
      <c r="A237" t="s">
        <v>32</v>
      </c>
      <c r="B237" t="s">
        <v>5</v>
      </c>
      <c r="C237">
        <v>87.9</v>
      </c>
      <c r="D237" s="3">
        <f>(100-Table1[[#This Row],[price_level_index]])/100</f>
        <v>0.12099999999999994</v>
      </c>
      <c r="E237" s="2">
        <v>18273</v>
      </c>
      <c r="F237" s="9">
        <f>Table1[[#This Row],[annual_net_earnings_raw]]+(Table1[[#This Row],[annual_net_earnings_raw]]*Table1[[#This Row],[price_level_index_mean_deviance]])</f>
        <v>20484.032999999999</v>
      </c>
      <c r="G237" s="11">
        <f>IF(Table1[[#This Row],[date]]&lt;B236,"",(Table1[[#This Row],[european_earnings_index_raw]]-F236)/F236)</f>
        <v>5.3942538305686641E-2</v>
      </c>
      <c r="H237" s="2">
        <f>_xlfn.IFNA(Table1[[#This Row],[annual_net_earnings_raw]], 0)</f>
        <v>18273</v>
      </c>
      <c r="I237" s="11"/>
    </row>
    <row r="238" spans="1:9" x14ac:dyDescent="0.25">
      <c r="A238" t="s">
        <v>32</v>
      </c>
      <c r="B238" t="s">
        <v>6</v>
      </c>
      <c r="C238">
        <v>89.1</v>
      </c>
      <c r="D238" s="3">
        <f>(100-Table1[[#This Row],[price_level_index]])/100</f>
        <v>0.10900000000000006</v>
      </c>
      <c r="E238" s="2">
        <v>18481</v>
      </c>
      <c r="F238" s="9">
        <f>Table1[[#This Row],[annual_net_earnings_raw]]+(Table1[[#This Row],[annual_net_earnings_raw]]*Table1[[#This Row],[price_level_index_mean_deviance]])</f>
        <v>20495.429</v>
      </c>
      <c r="G238" s="11">
        <f>IF(Table1[[#This Row],[date]]&lt;B237,"",(Table1[[#This Row],[european_earnings_index_raw]]-F237)/F237)</f>
        <v>5.5633575673309256E-4</v>
      </c>
      <c r="H238" s="2">
        <f>_xlfn.IFNA(Table1[[#This Row],[annual_net_earnings_raw]], 0)</f>
        <v>18481</v>
      </c>
      <c r="I238" s="11"/>
    </row>
    <row r="239" spans="1:9" x14ac:dyDescent="0.25">
      <c r="A239" t="s">
        <v>32</v>
      </c>
      <c r="B239" t="s">
        <v>7</v>
      </c>
      <c r="C239">
        <v>89.7</v>
      </c>
      <c r="D239" s="3">
        <f>(100-Table1[[#This Row],[price_level_index]])/100</f>
        <v>0.10299999999999997</v>
      </c>
      <c r="E239" s="2">
        <v>19552</v>
      </c>
      <c r="F239" s="9">
        <f>Table1[[#This Row],[annual_net_earnings_raw]]+(Table1[[#This Row],[annual_net_earnings_raw]]*Table1[[#This Row],[price_level_index_mean_deviance]])</f>
        <v>21565.856</v>
      </c>
      <c r="G239" s="11">
        <f>IF(Table1[[#This Row],[date]]&lt;B238,"",(Table1[[#This Row],[european_earnings_index_raw]]-F238)/F238)</f>
        <v>5.2227596699732398E-2</v>
      </c>
      <c r="H239" s="2">
        <f>_xlfn.IFNA(Table1[[#This Row],[annual_net_earnings_raw]], 0)</f>
        <v>19552</v>
      </c>
      <c r="I239" s="11"/>
    </row>
    <row r="240" spans="1:9" x14ac:dyDescent="0.25">
      <c r="A240" t="s">
        <v>32</v>
      </c>
      <c r="B240" t="s">
        <v>8</v>
      </c>
      <c r="C240">
        <v>92.7</v>
      </c>
      <c r="D240" s="3">
        <f>(100-Table1[[#This Row],[price_level_index]])/100</f>
        <v>7.2999999999999968E-2</v>
      </c>
      <c r="E240" s="2">
        <v>19126</v>
      </c>
      <c r="F240" s="9">
        <f>Table1[[#This Row],[annual_net_earnings_raw]]+(Table1[[#This Row],[annual_net_earnings_raw]]*Table1[[#This Row],[price_level_index_mean_deviance]])</f>
        <v>20522.198</v>
      </c>
      <c r="G240" s="11">
        <f>IF(Table1[[#This Row],[date]]&lt;B239,"",(Table1[[#This Row],[european_earnings_index_raw]]-F239)/F239)</f>
        <v>-4.8393998364822589E-2</v>
      </c>
      <c r="H240" s="2">
        <f>_xlfn.IFNA(Table1[[#This Row],[annual_net_earnings_raw]], 0)</f>
        <v>19126</v>
      </c>
      <c r="I240" s="11"/>
    </row>
    <row r="241" spans="1:9" x14ac:dyDescent="0.25">
      <c r="A241" t="s">
        <v>32</v>
      </c>
      <c r="B241" t="s">
        <v>9</v>
      </c>
      <c r="C241">
        <v>92.8</v>
      </c>
      <c r="D241" s="3">
        <f>(100-Table1[[#This Row],[price_level_index]])/100</f>
        <v>7.2000000000000022E-2</v>
      </c>
      <c r="E241" s="2">
        <v>19280</v>
      </c>
      <c r="F241" s="9">
        <f>Table1[[#This Row],[annual_net_earnings_raw]]+(Table1[[#This Row],[annual_net_earnings_raw]]*Table1[[#This Row],[price_level_index_mean_deviance]])</f>
        <v>20668.16</v>
      </c>
      <c r="G241" s="11">
        <f>IF(Table1[[#This Row],[date]]&lt;B240,"",(Table1[[#This Row],[european_earnings_index_raw]]-F240)/F240)</f>
        <v>7.1123960503645632E-3</v>
      </c>
      <c r="H241" s="2">
        <f>_xlfn.IFNA(Table1[[#This Row],[annual_net_earnings_raw]], 0)</f>
        <v>19280</v>
      </c>
      <c r="I241" s="11"/>
    </row>
    <row r="242" spans="1:9" x14ac:dyDescent="0.25">
      <c r="A242" t="s">
        <v>32</v>
      </c>
      <c r="B242" t="s">
        <v>10</v>
      </c>
      <c r="C242">
        <v>94.9</v>
      </c>
      <c r="D242" s="3">
        <f>(100-Table1[[#This Row],[price_level_index]])/100</f>
        <v>5.0999999999999941E-2</v>
      </c>
      <c r="E242" s="2">
        <v>19413</v>
      </c>
      <c r="F242" s="9">
        <f>Table1[[#This Row],[annual_net_earnings_raw]]+(Table1[[#This Row],[annual_net_earnings_raw]]*Table1[[#This Row],[price_level_index_mean_deviance]])</f>
        <v>20403.062999999998</v>
      </c>
      <c r="G242" s="11">
        <f>IF(Table1[[#This Row],[date]]&lt;B241,"",(Table1[[#This Row],[european_earnings_index_raw]]-F241)/F241)</f>
        <v>-1.2826347386511502E-2</v>
      </c>
      <c r="H242" s="2">
        <f>_xlfn.IFNA(Table1[[#This Row],[annual_net_earnings_raw]], 0)</f>
        <v>19413</v>
      </c>
      <c r="I242" s="11"/>
    </row>
    <row r="243" spans="1:9" x14ac:dyDescent="0.25">
      <c r="A243" t="s">
        <v>32</v>
      </c>
      <c r="B243" t="s">
        <v>11</v>
      </c>
      <c r="C243">
        <v>97.4</v>
      </c>
      <c r="D243" s="3">
        <f>(100-Table1[[#This Row],[price_level_index]])/100</f>
        <v>2.5999999999999943E-2</v>
      </c>
      <c r="E243" s="2">
        <v>19022</v>
      </c>
      <c r="F243" s="9">
        <f>Table1[[#This Row],[annual_net_earnings_raw]]+(Table1[[#This Row],[annual_net_earnings_raw]]*Table1[[#This Row],[price_level_index_mean_deviance]])</f>
        <v>19516.572</v>
      </c>
      <c r="G243" s="11">
        <f>IF(Table1[[#This Row],[date]]&lt;B242,"",(Table1[[#This Row],[european_earnings_index_raw]]-F242)/F242)</f>
        <v>-4.3448917449306422E-2</v>
      </c>
      <c r="H243" s="2">
        <f>_xlfn.IFNA(Table1[[#This Row],[annual_net_earnings_raw]], 0)</f>
        <v>19022</v>
      </c>
      <c r="I243" s="11"/>
    </row>
    <row r="244" spans="1:9" x14ac:dyDescent="0.25">
      <c r="A244" t="s">
        <v>32</v>
      </c>
      <c r="B244" t="s">
        <v>12</v>
      </c>
      <c r="C244">
        <v>96.8</v>
      </c>
      <c r="D244" s="3">
        <f>(100-Table1[[#This Row],[price_level_index]])/100</f>
        <v>3.2000000000000028E-2</v>
      </c>
      <c r="E244" s="2">
        <v>18002</v>
      </c>
      <c r="F244" s="9">
        <f>Table1[[#This Row],[annual_net_earnings_raw]]+(Table1[[#This Row],[annual_net_earnings_raw]]*Table1[[#This Row],[price_level_index_mean_deviance]])</f>
        <v>18578.064000000002</v>
      </c>
      <c r="G244" s="11">
        <f>IF(Table1[[#This Row],[date]]&lt;B243,"",(Table1[[#This Row],[european_earnings_index_raw]]-F243)/F243)</f>
        <v>-4.808774819676314E-2</v>
      </c>
      <c r="H244" s="2">
        <f>_xlfn.IFNA(Table1[[#This Row],[annual_net_earnings_raw]], 0)</f>
        <v>18002</v>
      </c>
      <c r="I244" s="11"/>
    </row>
    <row r="245" spans="1:9" x14ac:dyDescent="0.25">
      <c r="A245" t="s">
        <v>32</v>
      </c>
      <c r="B245" t="s">
        <v>13</v>
      </c>
      <c r="C245">
        <v>95</v>
      </c>
      <c r="D245" s="3">
        <f>(100-Table1[[#This Row],[price_level_index]])/100</f>
        <v>0.05</v>
      </c>
      <c r="E245" s="2">
        <v>17807</v>
      </c>
      <c r="F245" s="9">
        <f>Table1[[#This Row],[annual_net_earnings_raw]]+(Table1[[#This Row],[annual_net_earnings_raw]]*Table1[[#This Row],[price_level_index_mean_deviance]])</f>
        <v>18697.349999999999</v>
      </c>
      <c r="G245" s="11">
        <f>IF(Table1[[#This Row],[date]]&lt;B244,"",(Table1[[#This Row],[european_earnings_index_raw]]-F244)/F244)</f>
        <v>6.4207982058839073E-3</v>
      </c>
      <c r="H245" s="2">
        <f>_xlfn.IFNA(Table1[[#This Row],[annual_net_earnings_raw]], 0)</f>
        <v>17807</v>
      </c>
      <c r="I245" s="11"/>
    </row>
    <row r="246" spans="1:9" x14ac:dyDescent="0.25">
      <c r="A246" t="s">
        <v>32</v>
      </c>
      <c r="B246" t="s">
        <v>14</v>
      </c>
      <c r="C246">
        <v>90.4</v>
      </c>
      <c r="D246" s="3">
        <f>(100-Table1[[#This Row],[price_level_index]])/100</f>
        <v>9.5999999999999946E-2</v>
      </c>
      <c r="E246" s="2">
        <v>17143</v>
      </c>
      <c r="F246" s="9">
        <f>Table1[[#This Row],[annual_net_earnings_raw]]+(Table1[[#This Row],[annual_net_earnings_raw]]*Table1[[#This Row],[price_level_index_mean_deviance]])</f>
        <v>18788.727999999999</v>
      </c>
      <c r="G246" s="11">
        <f>IF(Table1[[#This Row],[date]]&lt;B245,"",(Table1[[#This Row],[european_earnings_index_raw]]-F245)/F245)</f>
        <v>4.8872166376518929E-3</v>
      </c>
      <c r="H246" s="2">
        <f>_xlfn.IFNA(Table1[[#This Row],[annual_net_earnings_raw]], 0)</f>
        <v>17143</v>
      </c>
      <c r="I246" s="11"/>
    </row>
    <row r="247" spans="1:9" x14ac:dyDescent="0.25">
      <c r="A247" t="s">
        <v>32</v>
      </c>
      <c r="B247" t="s">
        <v>15</v>
      </c>
      <c r="C247">
        <v>87.3</v>
      </c>
      <c r="D247" s="3">
        <f>(100-Table1[[#This Row],[price_level_index]])/100</f>
        <v>0.12700000000000003</v>
      </c>
      <c r="E247" s="2">
        <v>18110</v>
      </c>
      <c r="F247" s="9">
        <f>Table1[[#This Row],[annual_net_earnings_raw]]+(Table1[[#This Row],[annual_net_earnings_raw]]*Table1[[#This Row],[price_level_index_mean_deviance]])</f>
        <v>20409.97</v>
      </c>
      <c r="G247" s="11">
        <f>IF(Table1[[#This Row],[date]]&lt;B246,"",(Table1[[#This Row],[european_earnings_index_raw]]-F246)/F246)</f>
        <v>8.6288012685052554E-2</v>
      </c>
      <c r="H247" s="2">
        <f>_xlfn.IFNA(Table1[[#This Row],[annual_net_earnings_raw]], 0)</f>
        <v>18110</v>
      </c>
      <c r="I247" s="11"/>
    </row>
    <row r="248" spans="1:9" x14ac:dyDescent="0.25">
      <c r="A248" t="s">
        <v>32</v>
      </c>
      <c r="B248" t="s">
        <v>16</v>
      </c>
      <c r="C248">
        <v>86.2</v>
      </c>
      <c r="D248" s="3">
        <f>(100-Table1[[#This Row],[price_level_index]])/100</f>
        <v>0.13799999999999998</v>
      </c>
      <c r="E248" s="2">
        <v>17714</v>
      </c>
      <c r="F248" s="9">
        <f>Table1[[#This Row],[annual_net_earnings_raw]]+(Table1[[#This Row],[annual_net_earnings_raw]]*Table1[[#This Row],[price_level_index_mean_deviance]])</f>
        <v>20158.531999999999</v>
      </c>
      <c r="G248" s="11">
        <f>IF(Table1[[#This Row],[date]]&lt;B247,"",(Table1[[#This Row],[european_earnings_index_raw]]-F247)/F247)</f>
        <v>-1.2319371366053057E-2</v>
      </c>
      <c r="H248" s="2">
        <f>_xlfn.IFNA(Table1[[#This Row],[annual_net_earnings_raw]], 0)</f>
        <v>17714</v>
      </c>
      <c r="I248" s="11"/>
    </row>
    <row r="249" spans="1:9" x14ac:dyDescent="0.25">
      <c r="A249" t="s">
        <v>32</v>
      </c>
      <c r="B249" t="s">
        <v>17</v>
      </c>
      <c r="C249">
        <v>85.6</v>
      </c>
      <c r="D249" s="3">
        <f>(100-Table1[[#This Row],[price_level_index]])/100</f>
        <v>0.14400000000000004</v>
      </c>
      <c r="E249" s="2">
        <v>17114</v>
      </c>
      <c r="F249" s="9">
        <f>Table1[[#This Row],[annual_net_earnings_raw]]+(Table1[[#This Row],[annual_net_earnings_raw]]*Table1[[#This Row],[price_level_index_mean_deviance]])</f>
        <v>19578.416000000001</v>
      </c>
      <c r="G249" s="11">
        <f>IF(Table1[[#This Row],[date]]&lt;B248,"",(Table1[[#This Row],[european_earnings_index_raw]]-F248)/F248)</f>
        <v>-2.8777690756449835E-2</v>
      </c>
      <c r="H249" s="2">
        <f>_xlfn.IFNA(Table1[[#This Row],[annual_net_earnings_raw]], 0)</f>
        <v>17114</v>
      </c>
      <c r="I249" s="11"/>
    </row>
    <row r="250" spans="1:9" x14ac:dyDescent="0.25">
      <c r="A250" t="s">
        <v>32</v>
      </c>
      <c r="B250" t="s">
        <v>18</v>
      </c>
      <c r="C250">
        <v>84.4</v>
      </c>
      <c r="D250" s="3">
        <f>(100-Table1[[#This Row],[price_level_index]])/100</f>
        <v>0.15599999999999994</v>
      </c>
      <c r="E250" s="2">
        <v>17137</v>
      </c>
      <c r="F250" s="9">
        <f>Table1[[#This Row],[annual_net_earnings_raw]]+(Table1[[#This Row],[annual_net_earnings_raw]]*Table1[[#This Row],[price_level_index_mean_deviance]])</f>
        <v>19810.371999999999</v>
      </c>
      <c r="G250" s="11">
        <f>IF(Table1[[#This Row],[date]]&lt;B249,"",(Table1[[#This Row],[european_earnings_index_raw]]-F249)/F249)</f>
        <v>1.1847536593358641E-2</v>
      </c>
      <c r="H250" s="2">
        <f>_xlfn.IFNA(Table1[[#This Row],[annual_net_earnings_raw]], 0)</f>
        <v>17137</v>
      </c>
      <c r="I250" s="11"/>
    </row>
    <row r="251" spans="1:9" x14ac:dyDescent="0.25">
      <c r="A251" t="s">
        <v>32</v>
      </c>
      <c r="B251" t="s">
        <v>19</v>
      </c>
      <c r="C251">
        <v>84.2</v>
      </c>
      <c r="D251" s="3">
        <f>(100-Table1[[#This Row],[price_level_index]])/100</f>
        <v>0.15799999999999997</v>
      </c>
      <c r="E251" s="2">
        <v>17099</v>
      </c>
      <c r="F251" s="9">
        <f>Table1[[#This Row],[annual_net_earnings_raw]]+(Table1[[#This Row],[annual_net_earnings_raw]]*Table1[[#This Row],[price_level_index_mean_deviance]])</f>
        <v>19800.642</v>
      </c>
      <c r="G251" s="11">
        <f>IF(Table1[[#This Row],[date]]&lt;B250,"",(Table1[[#This Row],[european_earnings_index_raw]]-F250)/F250)</f>
        <v>-4.9115685460119393E-4</v>
      </c>
      <c r="H251" s="2">
        <f>_xlfn.IFNA(Table1[[#This Row],[annual_net_earnings_raw]], 0)</f>
        <v>17099</v>
      </c>
      <c r="I251" s="11"/>
    </row>
    <row r="252" spans="1:9" x14ac:dyDescent="0.25">
      <c r="A252" t="s">
        <v>32</v>
      </c>
      <c r="B252" t="s">
        <v>20</v>
      </c>
      <c r="C252">
        <v>84.9</v>
      </c>
      <c r="D252" s="3">
        <f>(100-Table1[[#This Row],[price_level_index]])/100</f>
        <v>0.15099999999999994</v>
      </c>
      <c r="E252" s="2">
        <v>17344</v>
      </c>
      <c r="F252" s="9">
        <f>Table1[[#This Row],[annual_net_earnings_raw]]+(Table1[[#This Row],[annual_net_earnings_raw]]*Table1[[#This Row],[price_level_index_mean_deviance]])</f>
        <v>19962.944</v>
      </c>
      <c r="G252" s="11">
        <f>IF(Table1[[#This Row],[date]]&lt;B251,"",(Table1[[#This Row],[european_earnings_index_raw]]-F251)/F251)</f>
        <v>8.1968049318804758E-3</v>
      </c>
      <c r="H252" s="2">
        <f>_xlfn.IFNA(Table1[[#This Row],[annual_net_earnings_raw]], 0)</f>
        <v>17344</v>
      </c>
      <c r="I252" s="11"/>
    </row>
    <row r="253" spans="1:9" x14ac:dyDescent="0.25">
      <c r="A253" t="s">
        <v>32</v>
      </c>
      <c r="B253" t="s">
        <v>21</v>
      </c>
      <c r="C253">
        <v>85.2</v>
      </c>
      <c r="D253" s="3">
        <f>(100-Table1[[#This Row],[price_level_index]])/100</f>
        <v>0.14799999999999996</v>
      </c>
      <c r="E253" s="2">
        <v>16215</v>
      </c>
      <c r="F253" s="9">
        <f>Table1[[#This Row],[annual_net_earnings_raw]]+(Table1[[#This Row],[annual_net_earnings_raw]]*Table1[[#This Row],[price_level_index_mean_deviance]])</f>
        <v>18614.82</v>
      </c>
      <c r="G253" s="11">
        <f>IF(Table1[[#This Row],[date]]&lt;B252,"",(Table1[[#This Row],[european_earnings_index_raw]]-F252)/F252)</f>
        <v>-6.7531322033463598E-2</v>
      </c>
      <c r="H253" s="2">
        <f>_xlfn.IFNA(Table1[[#This Row],[annual_net_earnings_raw]], 0)</f>
        <v>16215</v>
      </c>
      <c r="I253" s="11"/>
    </row>
    <row r="254" spans="1:9" x14ac:dyDescent="0.25">
      <c r="A254" t="s">
        <v>33</v>
      </c>
      <c r="B254" t="s">
        <v>1</v>
      </c>
      <c r="C254">
        <v>47.5</v>
      </c>
      <c r="D254" s="3">
        <f>(100-Table1[[#This Row],[price_level_index]])/100</f>
        <v>0.52500000000000002</v>
      </c>
      <c r="E254" s="2">
        <v>5167</v>
      </c>
      <c r="F254" s="9">
        <f>Table1[[#This Row],[annual_net_earnings_raw]]+(Table1[[#This Row],[annual_net_earnings_raw]]*Table1[[#This Row],[price_level_index_mean_deviance]])</f>
        <v>7879.6750000000002</v>
      </c>
      <c r="G254" s="11" t="str">
        <f>IF(Table1[[#This Row],[date]]&lt;B253,"",(Table1[[#This Row],[european_earnings_index_raw]]-F253)/F253)</f>
        <v/>
      </c>
      <c r="H254" s="2">
        <f>_xlfn.IFNA(Table1[[#This Row],[annual_net_earnings_raw]], 0)</f>
        <v>5167</v>
      </c>
      <c r="I254" s="11"/>
    </row>
    <row r="255" spans="1:9" x14ac:dyDescent="0.25">
      <c r="A255" t="s">
        <v>33</v>
      </c>
      <c r="B255" t="s">
        <v>2</v>
      </c>
      <c r="C255">
        <v>51.3</v>
      </c>
      <c r="D255" s="3">
        <f>(100-Table1[[#This Row],[price_level_index]])/100</f>
        <v>0.48700000000000004</v>
      </c>
      <c r="E255" s="2">
        <v>5421</v>
      </c>
      <c r="F255" s="9">
        <f>Table1[[#This Row],[annual_net_earnings_raw]]+(Table1[[#This Row],[annual_net_earnings_raw]]*Table1[[#This Row],[price_level_index_mean_deviance]])</f>
        <v>8061.027</v>
      </c>
      <c r="G255" s="11">
        <f>IF(Table1[[#This Row],[date]]&lt;B254,"",(Table1[[#This Row],[european_earnings_index_raw]]-F254)/F254)</f>
        <v>2.3015162427384359E-2</v>
      </c>
      <c r="H255" s="2">
        <f>_xlfn.IFNA(Table1[[#This Row],[annual_net_earnings_raw]], 0)</f>
        <v>5421</v>
      </c>
      <c r="I255" s="11"/>
    </row>
    <row r="256" spans="1:9" x14ac:dyDescent="0.25">
      <c r="A256" t="s">
        <v>33</v>
      </c>
      <c r="B256" t="s">
        <v>3</v>
      </c>
      <c r="C256">
        <v>56.6</v>
      </c>
      <c r="D256" s="3">
        <f>(100-Table1[[#This Row],[price_level_index]])/100</f>
        <v>0.434</v>
      </c>
      <c r="E256" s="2">
        <v>6102</v>
      </c>
      <c r="F256" s="9">
        <f>Table1[[#This Row],[annual_net_earnings_raw]]+(Table1[[#This Row],[annual_net_earnings_raw]]*Table1[[#This Row],[price_level_index_mean_deviance]])</f>
        <v>8750.268</v>
      </c>
      <c r="G256" s="11">
        <f>IF(Table1[[#This Row],[date]]&lt;B255,"",(Table1[[#This Row],[european_earnings_index_raw]]-F255)/F255)</f>
        <v>8.5502876990735791E-2</v>
      </c>
      <c r="H256" s="2">
        <f>_xlfn.IFNA(Table1[[#This Row],[annual_net_earnings_raw]], 0)</f>
        <v>6102</v>
      </c>
      <c r="I256" s="11"/>
    </row>
    <row r="257" spans="1:9" x14ac:dyDescent="0.25">
      <c r="A257" t="s">
        <v>33</v>
      </c>
      <c r="B257" t="s">
        <v>4</v>
      </c>
      <c r="C257">
        <v>56.8</v>
      </c>
      <c r="D257" s="3">
        <f>(100-Table1[[#This Row],[price_level_index]])/100</f>
        <v>0.43200000000000005</v>
      </c>
      <c r="E257" s="2">
        <v>6848</v>
      </c>
      <c r="F257" s="9">
        <f>Table1[[#This Row],[annual_net_earnings_raw]]+(Table1[[#This Row],[annual_net_earnings_raw]]*Table1[[#This Row],[price_level_index_mean_deviance]])</f>
        <v>9806.3359999999993</v>
      </c>
      <c r="G257" s="11">
        <f>IF(Table1[[#This Row],[date]]&lt;B256,"",(Table1[[#This Row],[european_earnings_index_raw]]-F256)/F256)</f>
        <v>0.1206897891584577</v>
      </c>
      <c r="H257" s="2">
        <f>_xlfn.IFNA(Table1[[#This Row],[annual_net_earnings_raw]], 0)</f>
        <v>6848</v>
      </c>
      <c r="I257" s="11"/>
    </row>
    <row r="258" spans="1:9" x14ac:dyDescent="0.25">
      <c r="A258" t="s">
        <v>33</v>
      </c>
      <c r="B258" t="s">
        <v>5</v>
      </c>
      <c r="C258">
        <v>60.1</v>
      </c>
      <c r="D258" s="3">
        <f>(100-Table1[[#This Row],[price_level_index]])/100</f>
        <v>0.39899999999999997</v>
      </c>
      <c r="E258" s="2">
        <v>6930</v>
      </c>
      <c r="F258" s="9">
        <f>Table1[[#This Row],[annual_net_earnings_raw]]+(Table1[[#This Row],[annual_net_earnings_raw]]*Table1[[#This Row],[price_level_index_mean_deviance]])</f>
        <v>9695.07</v>
      </c>
      <c r="G258" s="11">
        <f>IF(Table1[[#This Row],[date]]&lt;B257,"",(Table1[[#This Row],[european_earnings_index_raw]]-F257)/F257)</f>
        <v>-1.1346337714718283E-2</v>
      </c>
      <c r="H258" s="2">
        <f>_xlfn.IFNA(Table1[[#This Row],[annual_net_earnings_raw]], 0)</f>
        <v>6930</v>
      </c>
      <c r="I258" s="11"/>
    </row>
    <row r="259" spans="1:9" x14ac:dyDescent="0.25">
      <c r="A259" t="s">
        <v>33</v>
      </c>
      <c r="B259" t="s">
        <v>6</v>
      </c>
      <c r="C259">
        <v>62</v>
      </c>
      <c r="D259" s="3">
        <f>(100-Table1[[#This Row],[price_level_index]])/100</f>
        <v>0.38</v>
      </c>
      <c r="E259" s="2">
        <v>7405</v>
      </c>
      <c r="F259" s="9">
        <f>Table1[[#This Row],[annual_net_earnings_raw]]+(Table1[[#This Row],[annual_net_earnings_raw]]*Table1[[#This Row],[price_level_index_mean_deviance]])</f>
        <v>10218.9</v>
      </c>
      <c r="G259" s="11">
        <f>IF(Table1[[#This Row],[date]]&lt;B258,"",(Table1[[#This Row],[european_earnings_index_raw]]-F258)/F258)</f>
        <v>5.4030553673155526E-2</v>
      </c>
      <c r="H259" s="2">
        <f>_xlfn.IFNA(Table1[[#This Row],[annual_net_earnings_raw]], 0)</f>
        <v>7405</v>
      </c>
      <c r="I259" s="11"/>
    </row>
    <row r="260" spans="1:9" x14ac:dyDescent="0.25">
      <c r="A260" t="s">
        <v>33</v>
      </c>
      <c r="B260" t="s">
        <v>7</v>
      </c>
      <c r="C260">
        <v>59.6</v>
      </c>
      <c r="D260" s="3">
        <f>(100-Table1[[#This Row],[price_level_index]])/100</f>
        <v>0.40399999999999997</v>
      </c>
      <c r="E260" s="2">
        <v>7720</v>
      </c>
      <c r="F260" s="9">
        <f>Table1[[#This Row],[annual_net_earnings_raw]]+(Table1[[#This Row],[annual_net_earnings_raw]]*Table1[[#This Row],[price_level_index_mean_deviance]])</f>
        <v>10838.88</v>
      </c>
      <c r="G260" s="11">
        <f>IF(Table1[[#This Row],[date]]&lt;B259,"",(Table1[[#This Row],[european_earnings_index_raw]]-F259)/F259)</f>
        <v>6.0669935120218378E-2</v>
      </c>
      <c r="H260" s="2">
        <f>_xlfn.IFNA(Table1[[#This Row],[annual_net_earnings_raw]], 0)</f>
        <v>7720</v>
      </c>
      <c r="I260" s="11"/>
    </row>
    <row r="261" spans="1:9" x14ac:dyDescent="0.25">
      <c r="A261" t="s">
        <v>33</v>
      </c>
      <c r="B261" t="s">
        <v>8</v>
      </c>
      <c r="C261">
        <v>65.2</v>
      </c>
      <c r="D261" s="3">
        <f>(100-Table1[[#This Row],[price_level_index]])/100</f>
        <v>0.34799999999999998</v>
      </c>
      <c r="E261" s="2">
        <v>7522</v>
      </c>
      <c r="F261" s="9">
        <f>Table1[[#This Row],[annual_net_earnings_raw]]+(Table1[[#This Row],[annual_net_earnings_raw]]*Table1[[#This Row],[price_level_index_mean_deviance]])</f>
        <v>10139.655999999999</v>
      </c>
      <c r="G261" s="11">
        <f>IF(Table1[[#This Row],[date]]&lt;B260,"",(Table1[[#This Row],[european_earnings_index_raw]]-F260)/F260)</f>
        <v>-6.451072435528396E-2</v>
      </c>
      <c r="H261" s="2">
        <f>_xlfn.IFNA(Table1[[#This Row],[annual_net_earnings_raw]], 0)</f>
        <v>7522</v>
      </c>
      <c r="I261" s="11"/>
    </row>
    <row r="262" spans="1:9" x14ac:dyDescent="0.25">
      <c r="A262" t="s">
        <v>33</v>
      </c>
      <c r="B262" t="s">
        <v>9</v>
      </c>
      <c r="C262">
        <v>65.7</v>
      </c>
      <c r="D262" s="3">
        <f>(100-Table1[[#This Row],[price_level_index]])/100</f>
        <v>0.34299999999999997</v>
      </c>
      <c r="E262" s="2">
        <v>8166</v>
      </c>
      <c r="F262" s="9">
        <f>Table1[[#This Row],[annual_net_earnings_raw]]+(Table1[[#This Row],[annual_net_earnings_raw]]*Table1[[#This Row],[price_level_index_mean_deviance]])</f>
        <v>10966.938</v>
      </c>
      <c r="G262" s="11">
        <f>IF(Table1[[#This Row],[date]]&lt;B261,"",(Table1[[#This Row],[european_earnings_index_raw]]-F261)/F261)</f>
        <v>8.1588763958067329E-2</v>
      </c>
      <c r="H262" s="2">
        <f>_xlfn.IFNA(Table1[[#This Row],[annual_net_earnings_raw]], 0)</f>
        <v>8166</v>
      </c>
      <c r="I262" s="11"/>
    </row>
    <row r="263" spans="1:9" x14ac:dyDescent="0.25">
      <c r="A263" t="s">
        <v>33</v>
      </c>
      <c r="B263" t="s">
        <v>10</v>
      </c>
      <c r="C263">
        <v>58.9</v>
      </c>
      <c r="D263" s="3">
        <f>(100-Table1[[#This Row],[price_level_index]])/100</f>
        <v>0.41100000000000003</v>
      </c>
      <c r="E263" s="2">
        <v>8498</v>
      </c>
      <c r="F263" s="9">
        <f>Table1[[#This Row],[annual_net_earnings_raw]]+(Table1[[#This Row],[annual_net_earnings_raw]]*Table1[[#This Row],[price_level_index_mean_deviance]])</f>
        <v>11990.678</v>
      </c>
      <c r="G263" s="11">
        <f>IF(Table1[[#This Row],[date]]&lt;B262,"",(Table1[[#This Row],[european_earnings_index_raw]]-F262)/F262)</f>
        <v>9.3347842396847666E-2</v>
      </c>
      <c r="H263" s="2">
        <f>_xlfn.IFNA(Table1[[#This Row],[annual_net_earnings_raw]], 0)</f>
        <v>8498</v>
      </c>
      <c r="I263" s="11"/>
    </row>
    <row r="264" spans="1:9" x14ac:dyDescent="0.25">
      <c r="A264" t="s">
        <v>33</v>
      </c>
      <c r="B264" t="s">
        <v>11</v>
      </c>
      <c r="C264">
        <v>58.5</v>
      </c>
      <c r="D264" s="3">
        <f>(100-Table1[[#This Row],[price_level_index]])/100</f>
        <v>0.41499999999999998</v>
      </c>
      <c r="E264" s="2">
        <v>9678</v>
      </c>
      <c r="F264" s="9">
        <f>Table1[[#This Row],[annual_net_earnings_raw]]+(Table1[[#This Row],[annual_net_earnings_raw]]*Table1[[#This Row],[price_level_index_mean_deviance]])</f>
        <v>13694.369999999999</v>
      </c>
      <c r="G264" s="11">
        <f>IF(Table1[[#This Row],[date]]&lt;B263,"",(Table1[[#This Row],[european_earnings_index_raw]]-F263)/F263)</f>
        <v>0.14208470947180793</v>
      </c>
      <c r="H264" s="2">
        <f>_xlfn.IFNA(Table1[[#This Row],[annual_net_earnings_raw]], 0)</f>
        <v>9678</v>
      </c>
      <c r="I264" s="11"/>
    </row>
    <row r="265" spans="1:9" x14ac:dyDescent="0.25">
      <c r="A265" t="s">
        <v>33</v>
      </c>
      <c r="B265" t="s">
        <v>12</v>
      </c>
      <c r="C265">
        <v>57.5</v>
      </c>
      <c r="D265" s="3">
        <f>(100-Table1[[#This Row],[price_level_index]])/100</f>
        <v>0.42499999999999999</v>
      </c>
      <c r="E265" s="2">
        <v>9740</v>
      </c>
      <c r="F265" s="9">
        <f>Table1[[#This Row],[annual_net_earnings_raw]]+(Table1[[#This Row],[annual_net_earnings_raw]]*Table1[[#This Row],[price_level_index_mean_deviance]])</f>
        <v>13879.5</v>
      </c>
      <c r="G265" s="11">
        <f>IF(Table1[[#This Row],[date]]&lt;B264,"",(Table1[[#This Row],[european_earnings_index_raw]]-F264)/F264)</f>
        <v>1.351869417870271E-2</v>
      </c>
      <c r="H265" s="2">
        <f>_xlfn.IFNA(Table1[[#This Row],[annual_net_earnings_raw]], 0)</f>
        <v>9740</v>
      </c>
      <c r="I265" s="11"/>
    </row>
    <row r="266" spans="1:9" x14ac:dyDescent="0.25">
      <c r="A266" t="s">
        <v>33</v>
      </c>
      <c r="B266" t="s">
        <v>13</v>
      </c>
      <c r="C266">
        <v>56.7</v>
      </c>
      <c r="D266" s="3">
        <f>(100-Table1[[#This Row],[price_level_index]])/100</f>
        <v>0.433</v>
      </c>
      <c r="E266" s="2">
        <v>10170</v>
      </c>
      <c r="F266" s="9">
        <f>Table1[[#This Row],[annual_net_earnings_raw]]+(Table1[[#This Row],[annual_net_earnings_raw]]*Table1[[#This Row],[price_level_index_mean_deviance]])</f>
        <v>14573.61</v>
      </c>
      <c r="G266" s="11">
        <f>IF(Table1[[#This Row],[date]]&lt;B265,"",(Table1[[#This Row],[european_earnings_index_raw]]-F265)/F265)</f>
        <v>5.0009726575164851E-2</v>
      </c>
      <c r="H266" s="2">
        <f>_xlfn.IFNA(Table1[[#This Row],[annual_net_earnings_raw]], 0)</f>
        <v>10170</v>
      </c>
      <c r="I266" s="11"/>
    </row>
    <row r="267" spans="1:9" x14ac:dyDescent="0.25">
      <c r="A267" t="s">
        <v>33</v>
      </c>
      <c r="B267" t="s">
        <v>14</v>
      </c>
      <c r="C267">
        <v>56</v>
      </c>
      <c r="D267" s="3">
        <f>(100-Table1[[#This Row],[price_level_index]])/100</f>
        <v>0.44</v>
      </c>
      <c r="E267" s="2">
        <v>10601</v>
      </c>
      <c r="F267" s="9">
        <f>Table1[[#This Row],[annual_net_earnings_raw]]+(Table1[[#This Row],[annual_net_earnings_raw]]*Table1[[#This Row],[price_level_index_mean_deviance]])</f>
        <v>15265.439999999999</v>
      </c>
      <c r="G267" s="11">
        <f>IF(Table1[[#This Row],[date]]&lt;B266,"",(Table1[[#This Row],[european_earnings_index_raw]]-F266)/F266)</f>
        <v>4.7471422660548629E-2</v>
      </c>
      <c r="H267" s="2">
        <f>_xlfn.IFNA(Table1[[#This Row],[annual_net_earnings_raw]], 0)</f>
        <v>10601</v>
      </c>
      <c r="I267" s="11"/>
    </row>
    <row r="268" spans="1:9" x14ac:dyDescent="0.25">
      <c r="A268" t="s">
        <v>33</v>
      </c>
      <c r="B268" t="s">
        <v>15</v>
      </c>
      <c r="C268">
        <v>55.7</v>
      </c>
      <c r="D268" s="3">
        <f>(100-Table1[[#This Row],[price_level_index]])/100</f>
        <v>0.44299999999999995</v>
      </c>
      <c r="E268" s="2">
        <v>10748</v>
      </c>
      <c r="F268" s="9">
        <f>Table1[[#This Row],[annual_net_earnings_raw]]+(Table1[[#This Row],[annual_net_earnings_raw]]*Table1[[#This Row],[price_level_index_mean_deviance]])</f>
        <v>15509.364</v>
      </c>
      <c r="G268" s="11">
        <f>IF(Table1[[#This Row],[date]]&lt;B267,"",(Table1[[#This Row],[european_earnings_index_raw]]-F267)/F267)</f>
        <v>1.5978838474357826E-2</v>
      </c>
      <c r="H268" s="2">
        <f>_xlfn.IFNA(Table1[[#This Row],[annual_net_earnings_raw]], 0)</f>
        <v>10748</v>
      </c>
      <c r="I268" s="11"/>
    </row>
    <row r="269" spans="1:9" x14ac:dyDescent="0.25">
      <c r="A269" t="s">
        <v>33</v>
      </c>
      <c r="B269" t="s">
        <v>16</v>
      </c>
      <c r="C269">
        <v>56.7</v>
      </c>
      <c r="D269" s="3">
        <f>(100-Table1[[#This Row],[price_level_index]])/100</f>
        <v>0.433</v>
      </c>
      <c r="E269" s="2">
        <v>10922</v>
      </c>
      <c r="F269" s="9">
        <f>Table1[[#This Row],[annual_net_earnings_raw]]+(Table1[[#This Row],[annual_net_earnings_raw]]*Table1[[#This Row],[price_level_index_mean_deviance]])</f>
        <v>15651.225999999999</v>
      </c>
      <c r="G269" s="11">
        <f>IF(Table1[[#This Row],[date]]&lt;B268,"",(Table1[[#This Row],[european_earnings_index_raw]]-F268)/F268)</f>
        <v>9.1468612123617177E-3</v>
      </c>
      <c r="H269" s="2">
        <f>_xlfn.IFNA(Table1[[#This Row],[annual_net_earnings_raw]], 0)</f>
        <v>10922</v>
      </c>
      <c r="I269" s="11"/>
    </row>
    <row r="270" spans="1:9" x14ac:dyDescent="0.25">
      <c r="A270" t="s">
        <v>33</v>
      </c>
      <c r="B270" t="s">
        <v>17</v>
      </c>
      <c r="C270">
        <v>58.5</v>
      </c>
      <c r="D270" s="3">
        <f>(100-Table1[[#This Row],[price_level_index]])/100</f>
        <v>0.41499999999999998</v>
      </c>
      <c r="E270" s="2">
        <v>11438</v>
      </c>
      <c r="F270" s="9">
        <f>Table1[[#This Row],[annual_net_earnings_raw]]+(Table1[[#This Row],[annual_net_earnings_raw]]*Table1[[#This Row],[price_level_index_mean_deviance]])</f>
        <v>16184.77</v>
      </c>
      <c r="G270" s="11">
        <f>IF(Table1[[#This Row],[date]]&lt;B269,"",(Table1[[#This Row],[european_earnings_index_raw]]-F269)/F269)</f>
        <v>3.4089597837255799E-2</v>
      </c>
      <c r="H270" s="2">
        <f>_xlfn.IFNA(Table1[[#This Row],[annual_net_earnings_raw]], 0)</f>
        <v>11438</v>
      </c>
      <c r="I270" s="11"/>
    </row>
    <row r="271" spans="1:9" x14ac:dyDescent="0.25">
      <c r="A271" t="s">
        <v>33</v>
      </c>
      <c r="B271" t="s">
        <v>18</v>
      </c>
      <c r="C271">
        <v>62.2</v>
      </c>
      <c r="D271" s="3">
        <f>(100-Table1[[#This Row],[price_level_index]])/100</f>
        <v>0.37799999999999995</v>
      </c>
      <c r="E271" s="2">
        <v>12169</v>
      </c>
      <c r="F271" s="9">
        <f>Table1[[#This Row],[annual_net_earnings_raw]]+(Table1[[#This Row],[annual_net_earnings_raw]]*Table1[[#This Row],[price_level_index_mean_deviance]])</f>
        <v>16768.881999999998</v>
      </c>
      <c r="G271" s="11">
        <f>IF(Table1[[#This Row],[date]]&lt;B270,"",(Table1[[#This Row],[european_earnings_index_raw]]-F270)/F270)</f>
        <v>3.609022556390961E-2</v>
      </c>
      <c r="H271" s="2">
        <f>_xlfn.IFNA(Table1[[#This Row],[annual_net_earnings_raw]], 0)</f>
        <v>12169</v>
      </c>
      <c r="I271" s="11"/>
    </row>
    <row r="272" spans="1:9" x14ac:dyDescent="0.25">
      <c r="A272" t="s">
        <v>33</v>
      </c>
      <c r="B272" t="s">
        <v>19</v>
      </c>
      <c r="C272">
        <v>62.3</v>
      </c>
      <c r="D272" s="3">
        <f>(100-Table1[[#This Row],[price_level_index]])/100</f>
        <v>0.377</v>
      </c>
      <c r="E272" s="2">
        <v>13017</v>
      </c>
      <c r="F272" s="9">
        <f>Table1[[#This Row],[annual_net_earnings_raw]]+(Table1[[#This Row],[annual_net_earnings_raw]]*Table1[[#This Row],[price_level_index_mean_deviance]])</f>
        <v>17924.409</v>
      </c>
      <c r="G272" s="11">
        <f>IF(Table1[[#This Row],[date]]&lt;B271,"",(Table1[[#This Row],[european_earnings_index_raw]]-F271)/F271)</f>
        <v>6.8909006575393755E-2</v>
      </c>
      <c r="H272" s="2">
        <f>_xlfn.IFNA(Table1[[#This Row],[annual_net_earnings_raw]], 0)</f>
        <v>13017</v>
      </c>
      <c r="I272" s="11"/>
    </row>
    <row r="273" spans="1:9" x14ac:dyDescent="0.25">
      <c r="A273" t="s">
        <v>33</v>
      </c>
      <c r="B273" t="s">
        <v>20</v>
      </c>
      <c r="C273">
        <v>63.6</v>
      </c>
      <c r="D273" s="3">
        <f>(100-Table1[[#This Row],[price_level_index]])/100</f>
        <v>0.36399999999999999</v>
      </c>
      <c r="E273" s="2">
        <v>13931</v>
      </c>
      <c r="F273" s="9">
        <f>Table1[[#This Row],[annual_net_earnings_raw]]+(Table1[[#This Row],[annual_net_earnings_raw]]*Table1[[#This Row],[price_level_index_mean_deviance]])</f>
        <v>19001.883999999998</v>
      </c>
      <c r="G273" s="11">
        <f>IF(Table1[[#This Row],[date]]&lt;B272,"",(Table1[[#This Row],[european_earnings_index_raw]]-F272)/F272)</f>
        <v>6.0112163251798072E-2</v>
      </c>
      <c r="H273" s="2">
        <f>_xlfn.IFNA(Table1[[#This Row],[annual_net_earnings_raw]], 0)</f>
        <v>13931</v>
      </c>
      <c r="I273" s="11"/>
    </row>
    <row r="274" spans="1:9" x14ac:dyDescent="0.25">
      <c r="A274" t="s">
        <v>33</v>
      </c>
      <c r="B274" t="s">
        <v>21</v>
      </c>
      <c r="C274">
        <v>61</v>
      </c>
      <c r="D274" s="3">
        <f>(100-Table1[[#This Row],[price_level_index]])/100</f>
        <v>0.39</v>
      </c>
      <c r="E274" s="2">
        <v>14418</v>
      </c>
      <c r="F274" s="9">
        <f>Table1[[#This Row],[annual_net_earnings_raw]]+(Table1[[#This Row],[annual_net_earnings_raw]]*Table1[[#This Row],[price_level_index_mean_deviance]])</f>
        <v>20041.02</v>
      </c>
      <c r="G274" s="11">
        <f>IF(Table1[[#This Row],[date]]&lt;B273,"",(Table1[[#This Row],[european_earnings_index_raw]]-F273)/F273)</f>
        <v>5.4685945877787821E-2</v>
      </c>
      <c r="H274" s="2">
        <f>_xlfn.IFNA(Table1[[#This Row],[annual_net_earnings_raw]], 0)</f>
        <v>14418</v>
      </c>
      <c r="I274" s="11"/>
    </row>
    <row r="275" spans="1:9" x14ac:dyDescent="0.25">
      <c r="A275" t="s">
        <v>34</v>
      </c>
      <c r="B275" t="s">
        <v>1</v>
      </c>
      <c r="C275">
        <v>116.3</v>
      </c>
      <c r="D275" s="3">
        <f>(100-Table1[[#This Row],[price_level_index]])/100</f>
        <v>-0.16299999999999998</v>
      </c>
      <c r="E275" s="2">
        <v>17666</v>
      </c>
      <c r="F275" s="9">
        <f>Table1[[#This Row],[annual_net_earnings_raw]]+(Table1[[#This Row],[annual_net_earnings_raw]]*Table1[[#This Row],[price_level_index_mean_deviance]])</f>
        <v>14786.442000000001</v>
      </c>
      <c r="G275" s="11" t="str">
        <f>IF(Table1[[#This Row],[date]]&lt;B274,"",(Table1[[#This Row],[european_earnings_index_raw]]-F274)/F274)</f>
        <v/>
      </c>
      <c r="H275" s="2">
        <f>_xlfn.IFNA(Table1[[#This Row],[annual_net_earnings_raw]], 0)</f>
        <v>17666</v>
      </c>
      <c r="I275" s="11"/>
    </row>
    <row r="276" spans="1:9" x14ac:dyDescent="0.25">
      <c r="A276" t="s">
        <v>34</v>
      </c>
      <c r="B276" t="s">
        <v>2</v>
      </c>
      <c r="C276">
        <v>120.1</v>
      </c>
      <c r="D276" s="3">
        <f>(100-Table1[[#This Row],[price_level_index]])/100</f>
        <v>-0.20099999999999996</v>
      </c>
      <c r="E276" s="2">
        <v>19835</v>
      </c>
      <c r="F276" s="9">
        <f>Table1[[#This Row],[annual_net_earnings_raw]]+(Table1[[#This Row],[annual_net_earnings_raw]]*Table1[[#This Row],[price_level_index_mean_deviance]])</f>
        <v>15848.165000000001</v>
      </c>
      <c r="G276" s="11">
        <f>IF(Table1[[#This Row],[date]]&lt;B275,"",(Table1[[#This Row],[european_earnings_index_raw]]-F275)/F275)</f>
        <v>7.1803818660364671E-2</v>
      </c>
      <c r="H276" s="2">
        <f>_xlfn.IFNA(Table1[[#This Row],[annual_net_earnings_raw]], 0)</f>
        <v>19835</v>
      </c>
      <c r="I276" s="11"/>
    </row>
    <row r="277" spans="1:9" x14ac:dyDescent="0.25">
      <c r="A277" t="s">
        <v>34</v>
      </c>
      <c r="B277" t="s">
        <v>3</v>
      </c>
      <c r="C277">
        <v>125.3</v>
      </c>
      <c r="D277" s="3">
        <f>(100-Table1[[#This Row],[price_level_index]])/100</f>
        <v>-0.25299999999999995</v>
      </c>
      <c r="E277" s="2">
        <v>20192</v>
      </c>
      <c r="F277" s="9">
        <f>Table1[[#This Row],[annual_net_earnings_raw]]+(Table1[[#This Row],[annual_net_earnings_raw]]*Table1[[#This Row],[price_level_index_mean_deviance]])</f>
        <v>15083.424000000001</v>
      </c>
      <c r="G277" s="11">
        <f>IF(Table1[[#This Row],[date]]&lt;B276,"",(Table1[[#This Row],[european_earnings_index_raw]]-F276)/F276)</f>
        <v>-4.8254230063859122E-2</v>
      </c>
      <c r="H277" s="2">
        <f>_xlfn.IFNA(Table1[[#This Row],[annual_net_earnings_raw]], 0)</f>
        <v>20192</v>
      </c>
      <c r="I277" s="11"/>
    </row>
    <row r="278" spans="1:9" x14ac:dyDescent="0.25">
      <c r="A278" t="s">
        <v>34</v>
      </c>
      <c r="B278" t="s">
        <v>4</v>
      </c>
      <c r="C278">
        <v>126.9</v>
      </c>
      <c r="D278" s="3">
        <f>(100-Table1[[#This Row],[price_level_index]])/100</f>
        <v>-0.26900000000000007</v>
      </c>
      <c r="E278" s="2">
        <v>21080</v>
      </c>
      <c r="F278" s="9">
        <f>Table1[[#This Row],[annual_net_earnings_raw]]+(Table1[[#This Row],[annual_net_earnings_raw]]*Table1[[#This Row],[price_level_index_mean_deviance]])</f>
        <v>15409.48</v>
      </c>
      <c r="G278" s="11">
        <f>IF(Table1[[#This Row],[date]]&lt;B277,"",(Table1[[#This Row],[european_earnings_index_raw]]-F277)/F277)</f>
        <v>2.1616842435775767E-2</v>
      </c>
      <c r="H278" s="2">
        <f>_xlfn.IFNA(Table1[[#This Row],[annual_net_earnings_raw]], 0)</f>
        <v>21080</v>
      </c>
      <c r="I278" s="11"/>
    </row>
    <row r="279" spans="1:9" x14ac:dyDescent="0.25">
      <c r="A279" t="s">
        <v>34</v>
      </c>
      <c r="B279" t="s">
        <v>5</v>
      </c>
      <c r="C279">
        <v>127.5</v>
      </c>
      <c r="D279" s="3">
        <f>(100-Table1[[#This Row],[price_level_index]])/100</f>
        <v>-0.27500000000000002</v>
      </c>
      <c r="E279" s="2">
        <v>22147</v>
      </c>
      <c r="F279" s="9">
        <f>Table1[[#This Row],[annual_net_earnings_raw]]+(Table1[[#This Row],[annual_net_earnings_raw]]*Table1[[#This Row],[price_level_index_mean_deviance]])</f>
        <v>16056.575000000001</v>
      </c>
      <c r="G279" s="11">
        <f>IF(Table1[[#This Row],[date]]&lt;B278,"",(Table1[[#This Row],[european_earnings_index_raw]]-F278)/F278)</f>
        <v>4.1993305419780629E-2</v>
      </c>
      <c r="H279" s="2">
        <f>_xlfn.IFNA(Table1[[#This Row],[annual_net_earnings_raw]], 0)</f>
        <v>22147</v>
      </c>
      <c r="I279" s="11"/>
    </row>
    <row r="280" spans="1:9" x14ac:dyDescent="0.25">
      <c r="A280" t="s">
        <v>34</v>
      </c>
      <c r="B280" t="s">
        <v>6</v>
      </c>
      <c r="C280">
        <v>127.3</v>
      </c>
      <c r="D280" s="3">
        <f>(100-Table1[[#This Row],[price_level_index]])/100</f>
        <v>-0.27299999999999996</v>
      </c>
      <c r="E280" s="2">
        <v>23257</v>
      </c>
      <c r="F280" s="9">
        <f>Table1[[#This Row],[annual_net_earnings_raw]]+(Table1[[#This Row],[annual_net_earnings_raw]]*Table1[[#This Row],[price_level_index_mean_deviance]])</f>
        <v>16907.839</v>
      </c>
      <c r="G280" s="11">
        <f>IF(Table1[[#This Row],[date]]&lt;B279,"",(Table1[[#This Row],[european_earnings_index_raw]]-F279)/F279)</f>
        <v>5.3016536839269844E-2</v>
      </c>
      <c r="H280" s="2">
        <f>_xlfn.IFNA(Table1[[#This Row],[annual_net_earnings_raw]], 0)</f>
        <v>23257</v>
      </c>
      <c r="I280" s="11"/>
    </row>
    <row r="281" spans="1:9" x14ac:dyDescent="0.25">
      <c r="A281" t="s">
        <v>34</v>
      </c>
      <c r="B281" t="s">
        <v>7</v>
      </c>
      <c r="C281">
        <v>128.4</v>
      </c>
      <c r="D281" s="3">
        <f>(100-Table1[[#This Row],[price_level_index]])/100</f>
        <v>-0.28400000000000003</v>
      </c>
      <c r="E281" s="2">
        <v>24373</v>
      </c>
      <c r="F281" s="9">
        <f>Table1[[#This Row],[annual_net_earnings_raw]]+(Table1[[#This Row],[annual_net_earnings_raw]]*Table1[[#This Row],[price_level_index_mean_deviance]])</f>
        <v>17451.067999999999</v>
      </c>
      <c r="G281" s="11">
        <f>IF(Table1[[#This Row],[date]]&lt;B280,"",(Table1[[#This Row],[european_earnings_index_raw]]-F280)/F280)</f>
        <v>3.2128824978756861E-2</v>
      </c>
      <c r="H281" s="2">
        <f>_xlfn.IFNA(Table1[[#This Row],[annual_net_earnings_raw]], 0)</f>
        <v>24373</v>
      </c>
      <c r="I281" s="11"/>
    </row>
    <row r="282" spans="1:9" x14ac:dyDescent="0.25">
      <c r="A282" t="s">
        <v>34</v>
      </c>
      <c r="B282" t="s">
        <v>8</v>
      </c>
      <c r="C282">
        <v>131.4</v>
      </c>
      <c r="D282" s="3">
        <f>(100-Table1[[#This Row],[price_level_index]])/100</f>
        <v>-0.31400000000000006</v>
      </c>
      <c r="E282" s="2">
        <v>25671</v>
      </c>
      <c r="F282" s="9">
        <f>Table1[[#This Row],[annual_net_earnings_raw]]+(Table1[[#This Row],[annual_net_earnings_raw]]*Table1[[#This Row],[price_level_index_mean_deviance]])</f>
        <v>17610.305999999997</v>
      </c>
      <c r="G282" s="11">
        <f>IF(Table1[[#This Row],[date]]&lt;B281,"",(Table1[[#This Row],[european_earnings_index_raw]]-F281)/F281)</f>
        <v>9.1248283486143975E-3</v>
      </c>
      <c r="H282" s="2">
        <f>_xlfn.IFNA(Table1[[#This Row],[annual_net_earnings_raw]], 0)</f>
        <v>25671</v>
      </c>
      <c r="I282" s="11"/>
    </row>
    <row r="283" spans="1:9" x14ac:dyDescent="0.25">
      <c r="A283" t="s">
        <v>34</v>
      </c>
      <c r="B283" t="s">
        <v>9</v>
      </c>
      <c r="C283">
        <v>134</v>
      </c>
      <c r="D283" s="3">
        <f>(100-Table1[[#This Row],[price_level_index]])/100</f>
        <v>-0.34</v>
      </c>
      <c r="E283" s="2">
        <v>26256</v>
      </c>
      <c r="F283" s="9">
        <f>Table1[[#This Row],[annual_net_earnings_raw]]+(Table1[[#This Row],[annual_net_earnings_raw]]*Table1[[#This Row],[price_level_index_mean_deviance]])</f>
        <v>17328.96</v>
      </c>
      <c r="G283" s="11">
        <f>IF(Table1[[#This Row],[date]]&lt;B282,"",(Table1[[#This Row],[european_earnings_index_raw]]-F282)/F282)</f>
        <v>-1.5976213019807707E-2</v>
      </c>
      <c r="H283" s="2">
        <f>_xlfn.IFNA(Table1[[#This Row],[annual_net_earnings_raw]], 0)</f>
        <v>26256</v>
      </c>
      <c r="I283" s="11"/>
    </row>
    <row r="284" spans="1:9" x14ac:dyDescent="0.25">
      <c r="A284" t="s">
        <v>34</v>
      </c>
      <c r="B284" t="s">
        <v>10</v>
      </c>
      <c r="C284">
        <v>131.6</v>
      </c>
      <c r="D284" s="3">
        <f>(100-Table1[[#This Row],[price_level_index]])/100</f>
        <v>-0.31599999999999995</v>
      </c>
      <c r="E284" s="2">
        <v>25770</v>
      </c>
      <c r="F284" s="9">
        <f>Table1[[#This Row],[annual_net_earnings_raw]]+(Table1[[#This Row],[annual_net_earnings_raw]]*Table1[[#This Row],[price_level_index_mean_deviance]])</f>
        <v>17626.68</v>
      </c>
      <c r="G284" s="11">
        <f>IF(Table1[[#This Row],[date]]&lt;B283,"",(Table1[[#This Row],[european_earnings_index_raw]]-F283)/F283)</f>
        <v>1.7180488615589233E-2</v>
      </c>
      <c r="H284" s="2">
        <f>_xlfn.IFNA(Table1[[#This Row],[annual_net_earnings_raw]], 0)</f>
        <v>25770</v>
      </c>
      <c r="I284" s="11"/>
    </row>
    <row r="285" spans="1:9" x14ac:dyDescent="0.25">
      <c r="A285" t="s">
        <v>34</v>
      </c>
      <c r="B285" t="s">
        <v>11</v>
      </c>
      <c r="C285">
        <v>125.1</v>
      </c>
      <c r="D285" s="3">
        <f>(100-Table1[[#This Row],[price_level_index]])/100</f>
        <v>-0.25099999999999995</v>
      </c>
      <c r="E285" s="2">
        <v>26723</v>
      </c>
      <c r="F285" s="9">
        <f>Table1[[#This Row],[annual_net_earnings_raw]]+(Table1[[#This Row],[annual_net_earnings_raw]]*Table1[[#This Row],[price_level_index_mean_deviance]])</f>
        <v>20015.527000000002</v>
      </c>
      <c r="G285" s="11">
        <f>IF(Table1[[#This Row],[date]]&lt;B284,"",(Table1[[#This Row],[european_earnings_index_raw]]-F284)/F284)</f>
        <v>0.13552450035968211</v>
      </c>
      <c r="H285" s="2">
        <f>_xlfn.IFNA(Table1[[#This Row],[annual_net_earnings_raw]], 0)</f>
        <v>26723</v>
      </c>
      <c r="I285" s="11"/>
    </row>
    <row r="286" spans="1:9" x14ac:dyDescent="0.25">
      <c r="A286" t="s">
        <v>34</v>
      </c>
      <c r="B286" t="s">
        <v>12</v>
      </c>
      <c r="C286">
        <v>125</v>
      </c>
      <c r="D286" s="3">
        <f>(100-Table1[[#This Row],[price_level_index]])/100</f>
        <v>-0.25</v>
      </c>
      <c r="E286" s="2">
        <v>25712</v>
      </c>
      <c r="F286" s="9">
        <f>Table1[[#This Row],[annual_net_earnings_raw]]+(Table1[[#This Row],[annual_net_earnings_raw]]*Table1[[#This Row],[price_level_index_mean_deviance]])</f>
        <v>19284</v>
      </c>
      <c r="G286" s="11">
        <f>IF(Table1[[#This Row],[date]]&lt;B285,"",(Table1[[#This Row],[european_earnings_index_raw]]-F285)/F285)</f>
        <v>-3.6547975978848908E-2</v>
      </c>
      <c r="H286" s="2">
        <f>_xlfn.IFNA(Table1[[#This Row],[annual_net_earnings_raw]], 0)</f>
        <v>25712</v>
      </c>
      <c r="I286" s="11"/>
    </row>
    <row r="287" spans="1:9" x14ac:dyDescent="0.25">
      <c r="A287" t="s">
        <v>34</v>
      </c>
      <c r="B287" t="s">
        <v>13</v>
      </c>
      <c r="C287">
        <v>124.6</v>
      </c>
      <c r="D287" s="3">
        <f>(100-Table1[[#This Row],[price_level_index]])/100</f>
        <v>-0.24599999999999994</v>
      </c>
      <c r="E287" s="2">
        <v>25876</v>
      </c>
      <c r="F287" s="9">
        <f>Table1[[#This Row],[annual_net_earnings_raw]]+(Table1[[#This Row],[annual_net_earnings_raw]]*Table1[[#This Row],[price_level_index_mean_deviance]])</f>
        <v>19510.504000000001</v>
      </c>
      <c r="G287" s="11">
        <f>IF(Table1[[#This Row],[date]]&lt;B286,"",(Table1[[#This Row],[european_earnings_index_raw]]-F286)/F286)</f>
        <v>1.174569591371089E-2</v>
      </c>
      <c r="H287" s="2">
        <f>_xlfn.IFNA(Table1[[#This Row],[annual_net_earnings_raw]], 0)</f>
        <v>25876</v>
      </c>
      <c r="I287" s="11"/>
    </row>
    <row r="288" spans="1:9" x14ac:dyDescent="0.25">
      <c r="A288" t="s">
        <v>34</v>
      </c>
      <c r="B288" t="s">
        <v>14</v>
      </c>
      <c r="C288">
        <v>126.8</v>
      </c>
      <c r="D288" s="3">
        <f>(100-Table1[[#This Row],[price_level_index]])/100</f>
        <v>-0.26799999999999996</v>
      </c>
      <c r="E288" s="2">
        <v>25414</v>
      </c>
      <c r="F288" s="9">
        <f>Table1[[#This Row],[annual_net_earnings_raw]]+(Table1[[#This Row],[annual_net_earnings_raw]]*Table1[[#This Row],[price_level_index_mean_deviance]])</f>
        <v>18603.048000000003</v>
      </c>
      <c r="G288" s="11">
        <f>IF(Table1[[#This Row],[date]]&lt;B287,"",(Table1[[#This Row],[european_earnings_index_raw]]-F287)/F287)</f>
        <v>-4.6511151121467607E-2</v>
      </c>
      <c r="H288" s="2">
        <f>_xlfn.IFNA(Table1[[#This Row],[annual_net_earnings_raw]], 0)</f>
        <v>25414</v>
      </c>
      <c r="I288" s="11"/>
    </row>
    <row r="289" spans="1:9" x14ac:dyDescent="0.25">
      <c r="A289" t="s">
        <v>34</v>
      </c>
      <c r="B289" t="s">
        <v>15</v>
      </c>
      <c r="C289">
        <v>130.1</v>
      </c>
      <c r="D289" s="3">
        <f>(100-Table1[[#This Row],[price_level_index]])/100</f>
        <v>-0.30099999999999993</v>
      </c>
      <c r="E289" s="2">
        <v>24755</v>
      </c>
      <c r="F289" s="9">
        <f>Table1[[#This Row],[annual_net_earnings_raw]]+(Table1[[#This Row],[annual_net_earnings_raw]]*Table1[[#This Row],[price_level_index_mean_deviance]])</f>
        <v>17303.745000000003</v>
      </c>
      <c r="G289" s="11">
        <f>IF(Table1[[#This Row],[date]]&lt;B288,"",(Table1[[#This Row],[european_earnings_index_raw]]-F288)/F288)</f>
        <v>-6.9843554669105815E-2</v>
      </c>
      <c r="H289" s="2">
        <f>_xlfn.IFNA(Table1[[#This Row],[annual_net_earnings_raw]], 0)</f>
        <v>24755</v>
      </c>
      <c r="I289" s="11"/>
    </row>
    <row r="290" spans="1:9" x14ac:dyDescent="0.25">
      <c r="A290" t="s">
        <v>34</v>
      </c>
      <c r="B290" t="s">
        <v>16</v>
      </c>
      <c r="C290">
        <v>130</v>
      </c>
      <c r="D290" s="3">
        <f>(100-Table1[[#This Row],[price_level_index]])/100</f>
        <v>-0.3</v>
      </c>
      <c r="E290" s="2">
        <v>25190</v>
      </c>
      <c r="F290" s="9">
        <f>Table1[[#This Row],[annual_net_earnings_raw]]+(Table1[[#This Row],[annual_net_earnings_raw]]*Table1[[#This Row],[price_level_index_mean_deviance]])</f>
        <v>17633</v>
      </c>
      <c r="G290" s="11">
        <f>IF(Table1[[#This Row],[date]]&lt;B289,"",(Table1[[#This Row],[european_earnings_index_raw]]-F289)/F289)</f>
        <v>1.9027961866058322E-2</v>
      </c>
      <c r="H290" s="2">
        <f>_xlfn.IFNA(Table1[[#This Row],[annual_net_earnings_raw]], 0)</f>
        <v>25190</v>
      </c>
      <c r="I290" s="11"/>
    </row>
    <row r="291" spans="1:9" x14ac:dyDescent="0.25">
      <c r="A291" t="s">
        <v>34</v>
      </c>
      <c r="B291" t="s">
        <v>17</v>
      </c>
      <c r="C291">
        <v>131.69999999999999</v>
      </c>
      <c r="D291" s="3">
        <f>(100-Table1[[#This Row],[price_level_index]])/100</f>
        <v>-0.31699999999999989</v>
      </c>
      <c r="E291" s="2">
        <v>25777</v>
      </c>
      <c r="F291" s="9">
        <f>Table1[[#This Row],[annual_net_earnings_raw]]+(Table1[[#This Row],[annual_net_earnings_raw]]*Table1[[#This Row],[price_level_index_mean_deviance]])</f>
        <v>17605.691000000003</v>
      </c>
      <c r="G291" s="11">
        <f>IF(Table1[[#This Row],[date]]&lt;B290,"",(Table1[[#This Row],[european_earnings_index_raw]]-F290)/F290)</f>
        <v>-1.5487438325864837E-3</v>
      </c>
      <c r="H291" s="2">
        <f>_xlfn.IFNA(Table1[[#This Row],[annual_net_earnings_raw]], 0)</f>
        <v>25777</v>
      </c>
      <c r="I291" s="11"/>
    </row>
    <row r="292" spans="1:9" x14ac:dyDescent="0.25">
      <c r="A292" t="s">
        <v>34</v>
      </c>
      <c r="B292" t="s">
        <v>18</v>
      </c>
      <c r="C292">
        <v>133.9</v>
      </c>
      <c r="D292" s="3">
        <f>(100-Table1[[#This Row],[price_level_index]])/100</f>
        <v>-0.33900000000000008</v>
      </c>
      <c r="E292" s="2">
        <v>25822</v>
      </c>
      <c r="F292" s="9">
        <f>Table1[[#This Row],[annual_net_earnings_raw]]+(Table1[[#This Row],[annual_net_earnings_raw]]*Table1[[#This Row],[price_level_index_mean_deviance]])</f>
        <v>17068.341999999997</v>
      </c>
      <c r="G292" s="11">
        <f>IF(Table1[[#This Row],[date]]&lt;B291,"",(Table1[[#This Row],[european_earnings_index_raw]]-F291)/F291)</f>
        <v>-3.0521324042322766E-2</v>
      </c>
      <c r="H292" s="2">
        <f>_xlfn.IFNA(Table1[[#This Row],[annual_net_earnings_raw]], 0)</f>
        <v>25822</v>
      </c>
      <c r="I292" s="11"/>
    </row>
    <row r="293" spans="1:9" x14ac:dyDescent="0.25">
      <c r="A293" t="s">
        <v>34</v>
      </c>
      <c r="B293" t="s">
        <v>19</v>
      </c>
      <c r="C293">
        <v>135.69999999999999</v>
      </c>
      <c r="D293" s="3">
        <f>(100-Table1[[#This Row],[price_level_index]])/100</f>
        <v>-0.35699999999999987</v>
      </c>
      <c r="E293" s="2">
        <v>26181</v>
      </c>
      <c r="F293" s="9">
        <f>Table1[[#This Row],[annual_net_earnings_raw]]+(Table1[[#This Row],[annual_net_earnings_raw]]*Table1[[#This Row],[price_level_index_mean_deviance]])</f>
        <v>16834.383000000002</v>
      </c>
      <c r="G293" s="11">
        <f>IF(Table1[[#This Row],[date]]&lt;B292,"",(Table1[[#This Row],[european_earnings_index_raw]]-F292)/F292)</f>
        <v>-1.3707189602832855E-2</v>
      </c>
      <c r="H293" s="2">
        <f>_xlfn.IFNA(Table1[[#This Row],[annual_net_earnings_raw]], 0)</f>
        <v>26181</v>
      </c>
      <c r="I293" s="11"/>
    </row>
    <row r="294" spans="1:9" x14ac:dyDescent="0.25">
      <c r="A294" t="s">
        <v>34</v>
      </c>
      <c r="B294" t="s">
        <v>20</v>
      </c>
      <c r="C294">
        <v>139</v>
      </c>
      <c r="D294" s="3">
        <f>(100-Table1[[#This Row],[price_level_index]])/100</f>
        <v>-0.39</v>
      </c>
      <c r="E294" s="2">
        <v>26540</v>
      </c>
      <c r="F294" s="9">
        <f>Table1[[#This Row],[annual_net_earnings_raw]]+(Table1[[#This Row],[annual_net_earnings_raw]]*Table1[[#This Row],[price_level_index_mean_deviance]])</f>
        <v>16189.4</v>
      </c>
      <c r="G294" s="11">
        <f>IF(Table1[[#This Row],[date]]&lt;B293,"",(Table1[[#This Row],[european_earnings_index_raw]]-F293)/F293)</f>
        <v>-3.8313432693078325E-2</v>
      </c>
      <c r="H294" s="2">
        <f>_xlfn.IFNA(Table1[[#This Row],[annual_net_earnings_raw]], 0)</f>
        <v>26540</v>
      </c>
      <c r="I294" s="11"/>
    </row>
    <row r="295" spans="1:9" x14ac:dyDescent="0.25">
      <c r="A295" t="s">
        <v>34</v>
      </c>
      <c r="B295" t="s">
        <v>21</v>
      </c>
      <c r="C295">
        <v>145.19999999999999</v>
      </c>
      <c r="D295" s="3">
        <f>(100-Table1[[#This Row],[price_level_index]])/100</f>
        <v>-0.4519999999999999</v>
      </c>
      <c r="E295" s="2">
        <v>26211</v>
      </c>
      <c r="F295" s="9">
        <f>Table1[[#This Row],[annual_net_earnings_raw]]+(Table1[[#This Row],[annual_net_earnings_raw]]*Table1[[#This Row],[price_level_index_mean_deviance]])</f>
        <v>14363.628000000002</v>
      </c>
      <c r="G295" s="11">
        <f>IF(Table1[[#This Row],[date]]&lt;B294,"",(Table1[[#This Row],[european_earnings_index_raw]]-F294)/F294)</f>
        <v>-0.11277576685979698</v>
      </c>
      <c r="H295" s="2">
        <f>_xlfn.IFNA(Table1[[#This Row],[annual_net_earnings_raw]], 0)</f>
        <v>26211</v>
      </c>
      <c r="I295" s="11"/>
    </row>
    <row r="296" spans="1:9" x14ac:dyDescent="0.25">
      <c r="A296" t="s">
        <v>35</v>
      </c>
      <c r="B296" t="s">
        <v>1</v>
      </c>
      <c r="C296">
        <v>102.8</v>
      </c>
      <c r="D296" s="3">
        <f>(100-Table1[[#This Row],[price_level_index]])/100</f>
        <v>-2.7999999999999973E-2</v>
      </c>
      <c r="E296" s="2">
        <v>15260</v>
      </c>
      <c r="F296" s="9">
        <f>Table1[[#This Row],[annual_net_earnings_raw]]+(Table1[[#This Row],[annual_net_earnings_raw]]*Table1[[#This Row],[price_level_index_mean_deviance]])</f>
        <v>14832.720000000001</v>
      </c>
      <c r="G296" s="11" t="str">
        <f>IF(Table1[[#This Row],[date]]&lt;B295,"",(Table1[[#This Row],[european_earnings_index_raw]]-F295)/F295)</f>
        <v/>
      </c>
      <c r="H296" s="2">
        <f>_xlfn.IFNA(Table1[[#This Row],[annual_net_earnings_raw]], 0)</f>
        <v>15260</v>
      </c>
      <c r="I296" s="11"/>
    </row>
    <row r="297" spans="1:9" x14ac:dyDescent="0.25">
      <c r="A297" t="s">
        <v>35</v>
      </c>
      <c r="B297" t="s">
        <v>2</v>
      </c>
      <c r="C297">
        <v>104.5</v>
      </c>
      <c r="D297" s="3">
        <f>(100-Table1[[#This Row],[price_level_index]])/100</f>
        <v>-4.4999999999999998E-2</v>
      </c>
      <c r="E297" s="2">
        <v>15527</v>
      </c>
      <c r="F297" s="9">
        <f>Table1[[#This Row],[annual_net_earnings_raw]]+(Table1[[#This Row],[annual_net_earnings_raw]]*Table1[[#This Row],[price_level_index_mean_deviance]])</f>
        <v>14828.285</v>
      </c>
      <c r="G297" s="11">
        <f>IF(Table1[[#This Row],[date]]&lt;B296,"",(Table1[[#This Row],[european_earnings_index_raw]]-F296)/F296)</f>
        <v>-2.9900112723770889E-4</v>
      </c>
      <c r="H297" s="2">
        <f>_xlfn.IFNA(Table1[[#This Row],[annual_net_earnings_raw]], 0)</f>
        <v>15527</v>
      </c>
      <c r="I297" s="11"/>
    </row>
    <row r="298" spans="1:9" x14ac:dyDescent="0.25">
      <c r="A298" t="s">
        <v>35</v>
      </c>
      <c r="B298" t="s">
        <v>3</v>
      </c>
      <c r="C298">
        <v>106.6</v>
      </c>
      <c r="D298" s="3">
        <f>(100-Table1[[#This Row],[price_level_index]])/100</f>
        <v>-6.5999999999999948E-2</v>
      </c>
      <c r="E298" s="2">
        <v>15438</v>
      </c>
      <c r="F298" s="9">
        <f>Table1[[#This Row],[annual_net_earnings_raw]]+(Table1[[#This Row],[annual_net_earnings_raw]]*Table1[[#This Row],[price_level_index_mean_deviance]])</f>
        <v>14419.092000000001</v>
      </c>
      <c r="G298" s="11">
        <f>IF(Table1[[#This Row],[date]]&lt;B297,"",(Table1[[#This Row],[european_earnings_index_raw]]-F297)/F297)</f>
        <v>-2.7595436694128776E-2</v>
      </c>
      <c r="H298" s="2">
        <f>_xlfn.IFNA(Table1[[#This Row],[annual_net_earnings_raw]], 0)</f>
        <v>15438</v>
      </c>
      <c r="I298" s="11"/>
    </row>
    <row r="299" spans="1:9" x14ac:dyDescent="0.25">
      <c r="A299" t="s">
        <v>35</v>
      </c>
      <c r="B299" t="s">
        <v>4</v>
      </c>
      <c r="C299">
        <v>106.8</v>
      </c>
      <c r="D299" s="3">
        <f>(100-Table1[[#This Row],[price_level_index]])/100</f>
        <v>-6.7999999999999977E-2</v>
      </c>
      <c r="E299" s="2">
        <v>15979</v>
      </c>
      <c r="F299" s="9">
        <f>Table1[[#This Row],[annual_net_earnings_raw]]+(Table1[[#This Row],[annual_net_earnings_raw]]*Table1[[#This Row],[price_level_index_mean_deviance]])</f>
        <v>14892.428</v>
      </c>
      <c r="G299" s="11">
        <f>IF(Table1[[#This Row],[date]]&lt;B298,"",(Table1[[#This Row],[european_earnings_index_raw]]-F298)/F298)</f>
        <v>3.2827032381789321E-2</v>
      </c>
      <c r="H299" s="2">
        <f>_xlfn.IFNA(Table1[[#This Row],[annual_net_earnings_raw]], 0)</f>
        <v>15979</v>
      </c>
      <c r="I299" s="11"/>
    </row>
    <row r="300" spans="1:9" x14ac:dyDescent="0.25">
      <c r="A300" t="s">
        <v>35</v>
      </c>
      <c r="B300" t="s">
        <v>5</v>
      </c>
      <c r="C300">
        <v>108.2</v>
      </c>
      <c r="D300" s="3">
        <f>(100-Table1[[#This Row],[price_level_index]])/100</f>
        <v>-8.2000000000000031E-2</v>
      </c>
      <c r="E300" s="2">
        <v>16021</v>
      </c>
      <c r="F300" s="9">
        <f>Table1[[#This Row],[annual_net_earnings_raw]]+(Table1[[#This Row],[annual_net_earnings_raw]]*Table1[[#This Row],[price_level_index_mean_deviance]])</f>
        <v>14707.278</v>
      </c>
      <c r="G300" s="11">
        <f>IF(Table1[[#This Row],[date]]&lt;B299,"",(Table1[[#This Row],[european_earnings_index_raw]]-F299)/F299)</f>
        <v>-1.2432492539161488E-2</v>
      </c>
      <c r="H300" s="2">
        <f>_xlfn.IFNA(Table1[[#This Row],[annual_net_earnings_raw]], 0)</f>
        <v>16021</v>
      </c>
      <c r="I300" s="11"/>
    </row>
    <row r="301" spans="1:9" x14ac:dyDescent="0.25">
      <c r="A301" t="s">
        <v>35</v>
      </c>
      <c r="B301" t="s">
        <v>6</v>
      </c>
      <c r="C301">
        <v>108</v>
      </c>
      <c r="D301" s="3">
        <f>(100-Table1[[#This Row],[price_level_index]])/100</f>
        <v>-0.08</v>
      </c>
      <c r="E301" s="2">
        <v>16696</v>
      </c>
      <c r="F301" s="9">
        <f>Table1[[#This Row],[annual_net_earnings_raw]]+(Table1[[#This Row],[annual_net_earnings_raw]]*Table1[[#This Row],[price_level_index_mean_deviance]])</f>
        <v>15360.32</v>
      </c>
      <c r="G301" s="11">
        <f>IF(Table1[[#This Row],[date]]&lt;B300,"",(Table1[[#This Row],[european_earnings_index_raw]]-F300)/F300)</f>
        <v>4.440264201166249E-2</v>
      </c>
      <c r="H301" s="2">
        <f>_xlfn.IFNA(Table1[[#This Row],[annual_net_earnings_raw]], 0)</f>
        <v>16696</v>
      </c>
      <c r="I301" s="11"/>
    </row>
    <row r="302" spans="1:9" x14ac:dyDescent="0.25">
      <c r="A302" t="s">
        <v>35</v>
      </c>
      <c r="B302" t="s">
        <v>7</v>
      </c>
      <c r="C302">
        <v>107.1</v>
      </c>
      <c r="D302" s="3">
        <f>(100-Table1[[#This Row],[price_level_index]])/100</f>
        <v>-7.0999999999999938E-2</v>
      </c>
      <c r="E302" s="2">
        <v>17140</v>
      </c>
      <c r="F302" s="9">
        <f>Table1[[#This Row],[annual_net_earnings_raw]]+(Table1[[#This Row],[annual_net_earnings_raw]]*Table1[[#This Row],[price_level_index_mean_deviance]])</f>
        <v>15923.060000000001</v>
      </c>
      <c r="G302" s="11">
        <f>IF(Table1[[#This Row],[date]]&lt;B301,"",(Table1[[#This Row],[european_earnings_index_raw]]-F301)/F301)</f>
        <v>3.6635955500927166E-2</v>
      </c>
      <c r="H302" s="2">
        <f>_xlfn.IFNA(Table1[[#This Row],[annual_net_earnings_raw]], 0)</f>
        <v>17140</v>
      </c>
      <c r="I302" s="11"/>
    </row>
    <row r="303" spans="1:9" x14ac:dyDescent="0.25">
      <c r="A303" t="s">
        <v>35</v>
      </c>
      <c r="B303" t="s">
        <v>8</v>
      </c>
      <c r="C303">
        <v>106</v>
      </c>
      <c r="D303" s="3">
        <f>(100-Table1[[#This Row],[price_level_index]])/100</f>
        <v>-0.06</v>
      </c>
      <c r="E303" s="2">
        <v>17483</v>
      </c>
      <c r="F303" s="9">
        <f>Table1[[#This Row],[annual_net_earnings_raw]]+(Table1[[#This Row],[annual_net_earnings_raw]]*Table1[[#This Row],[price_level_index_mean_deviance]])</f>
        <v>16434.02</v>
      </c>
      <c r="G303" s="11">
        <f>IF(Table1[[#This Row],[date]]&lt;B302,"",(Table1[[#This Row],[european_earnings_index_raw]]-F302)/F302)</f>
        <v>3.2089309466898891E-2</v>
      </c>
      <c r="H303" s="2">
        <f>_xlfn.IFNA(Table1[[#This Row],[annual_net_earnings_raw]], 0)</f>
        <v>17483</v>
      </c>
      <c r="I303" s="11"/>
    </row>
    <row r="304" spans="1:9" x14ac:dyDescent="0.25">
      <c r="A304" t="s">
        <v>35</v>
      </c>
      <c r="B304" t="s">
        <v>9</v>
      </c>
      <c r="C304">
        <v>103.9</v>
      </c>
      <c r="D304" s="3">
        <f>(100-Table1[[#This Row],[price_level_index]])/100</f>
        <v>-3.9000000000000055E-2</v>
      </c>
      <c r="E304" s="2">
        <v>18477</v>
      </c>
      <c r="F304" s="9">
        <f>Table1[[#This Row],[annual_net_earnings_raw]]+(Table1[[#This Row],[annual_net_earnings_raw]]*Table1[[#This Row],[price_level_index_mean_deviance]])</f>
        <v>17756.396999999997</v>
      </c>
      <c r="G304" s="11">
        <f>IF(Table1[[#This Row],[date]]&lt;B303,"",(Table1[[#This Row],[european_earnings_index_raw]]-F303)/F303)</f>
        <v>8.0465826377234345E-2</v>
      </c>
      <c r="H304" s="2">
        <f>_xlfn.IFNA(Table1[[#This Row],[annual_net_earnings_raw]], 0)</f>
        <v>18477</v>
      </c>
      <c r="I304" s="11"/>
    </row>
    <row r="305" spans="1:9" x14ac:dyDescent="0.25">
      <c r="A305" t="s">
        <v>35</v>
      </c>
      <c r="B305" t="s">
        <v>10</v>
      </c>
      <c r="C305">
        <v>104.9</v>
      </c>
      <c r="D305" s="3">
        <f>(100-Table1[[#This Row],[price_level_index]])/100</f>
        <v>-4.9000000000000057E-2</v>
      </c>
      <c r="E305" s="2">
        <v>18641</v>
      </c>
      <c r="F305" s="9">
        <f>Table1[[#This Row],[annual_net_earnings_raw]]+(Table1[[#This Row],[annual_net_earnings_raw]]*Table1[[#This Row],[price_level_index_mean_deviance]])</f>
        <v>17727.591</v>
      </c>
      <c r="G305" s="11">
        <f>IF(Table1[[#This Row],[date]]&lt;B304,"",(Table1[[#This Row],[european_earnings_index_raw]]-F304)/F304)</f>
        <v>-1.6222885757733881E-3</v>
      </c>
      <c r="H305" s="2">
        <f>_xlfn.IFNA(Table1[[#This Row],[annual_net_earnings_raw]], 0)</f>
        <v>18641</v>
      </c>
      <c r="I305" s="11"/>
    </row>
    <row r="306" spans="1:9" x14ac:dyDescent="0.25">
      <c r="A306" t="s">
        <v>35</v>
      </c>
      <c r="B306" t="s">
        <v>11</v>
      </c>
      <c r="C306">
        <v>102.4</v>
      </c>
      <c r="D306" s="3">
        <f>(100-Table1[[#This Row],[price_level_index]])/100</f>
        <v>-2.4000000000000056E-2</v>
      </c>
      <c r="E306" s="2">
        <v>19329</v>
      </c>
      <c r="F306" s="9">
        <f>Table1[[#This Row],[annual_net_earnings_raw]]+(Table1[[#This Row],[annual_net_earnings_raw]]*Table1[[#This Row],[price_level_index_mean_deviance]])</f>
        <v>18865.103999999999</v>
      </c>
      <c r="G306" s="11">
        <f>IF(Table1[[#This Row],[date]]&lt;B305,"",(Table1[[#This Row],[european_earnings_index_raw]]-F305)/F305)</f>
        <v>6.4166247969055637E-2</v>
      </c>
      <c r="H306" s="2">
        <f>_xlfn.IFNA(Table1[[#This Row],[annual_net_earnings_raw]], 0)</f>
        <v>19329</v>
      </c>
      <c r="I306" s="11"/>
    </row>
    <row r="307" spans="1:9" x14ac:dyDescent="0.25">
      <c r="A307" t="s">
        <v>35</v>
      </c>
      <c r="B307" t="s">
        <v>12</v>
      </c>
      <c r="C307">
        <v>103.5</v>
      </c>
      <c r="D307" s="3">
        <f>(100-Table1[[#This Row],[price_level_index]])/100</f>
        <v>-3.5000000000000003E-2</v>
      </c>
      <c r="E307" s="2">
        <v>19305</v>
      </c>
      <c r="F307" s="9">
        <f>Table1[[#This Row],[annual_net_earnings_raw]]+(Table1[[#This Row],[annual_net_earnings_raw]]*Table1[[#This Row],[price_level_index_mean_deviance]])</f>
        <v>18629.325000000001</v>
      </c>
      <c r="G307" s="11">
        <f>IF(Table1[[#This Row],[date]]&lt;B306,"",(Table1[[#This Row],[european_earnings_index_raw]]-F306)/F306)</f>
        <v>-1.2498155324243039E-2</v>
      </c>
      <c r="H307" s="2">
        <f>_xlfn.IFNA(Table1[[#This Row],[annual_net_earnings_raw]], 0)</f>
        <v>19305</v>
      </c>
      <c r="I307" s="11"/>
    </row>
    <row r="308" spans="1:9" x14ac:dyDescent="0.25">
      <c r="A308" t="s">
        <v>35</v>
      </c>
      <c r="B308" t="s">
        <v>13</v>
      </c>
      <c r="C308">
        <v>104.4</v>
      </c>
      <c r="D308" s="3">
        <f>(100-Table1[[#This Row],[price_level_index]])/100</f>
        <v>-4.400000000000006E-2</v>
      </c>
      <c r="E308" s="2">
        <v>19414</v>
      </c>
      <c r="F308" s="9">
        <f>Table1[[#This Row],[annual_net_earnings_raw]]+(Table1[[#This Row],[annual_net_earnings_raw]]*Table1[[#This Row],[price_level_index_mean_deviance]])</f>
        <v>18559.784</v>
      </c>
      <c r="G308" s="11">
        <f>IF(Table1[[#This Row],[date]]&lt;B307,"",(Table1[[#This Row],[european_earnings_index_raw]]-F307)/F307)</f>
        <v>-3.7328781370232723E-3</v>
      </c>
      <c r="H308" s="2">
        <f>_xlfn.IFNA(Table1[[#This Row],[annual_net_earnings_raw]], 0)</f>
        <v>19414</v>
      </c>
      <c r="I308" s="11"/>
    </row>
    <row r="309" spans="1:9" x14ac:dyDescent="0.25">
      <c r="A309" t="s">
        <v>35</v>
      </c>
      <c r="B309" t="s">
        <v>14</v>
      </c>
      <c r="C309">
        <v>105.3</v>
      </c>
      <c r="D309" s="3">
        <f>(100-Table1[[#This Row],[price_level_index]])/100</f>
        <v>-5.2999999999999971E-2</v>
      </c>
      <c r="E309" s="2">
        <v>19630</v>
      </c>
      <c r="F309" s="9">
        <f>Table1[[#This Row],[annual_net_earnings_raw]]+(Table1[[#This Row],[annual_net_earnings_raw]]*Table1[[#This Row],[price_level_index_mean_deviance]])</f>
        <v>18589.61</v>
      </c>
      <c r="G309" s="11">
        <f>IF(Table1[[#This Row],[date]]&lt;B308,"",(Table1[[#This Row],[european_earnings_index_raw]]-F308)/F308)</f>
        <v>1.6070230127678711E-3</v>
      </c>
      <c r="H309" s="2">
        <f>_xlfn.IFNA(Table1[[#This Row],[annual_net_earnings_raw]], 0)</f>
        <v>19630</v>
      </c>
      <c r="I309" s="11"/>
    </row>
    <row r="310" spans="1:9" x14ac:dyDescent="0.25">
      <c r="A310" t="s">
        <v>35</v>
      </c>
      <c r="B310" t="s">
        <v>15</v>
      </c>
      <c r="C310">
        <v>106.9</v>
      </c>
      <c r="D310" s="3">
        <f>(100-Table1[[#This Row],[price_level_index]])/100</f>
        <v>-6.9000000000000061E-2</v>
      </c>
      <c r="E310" s="2">
        <v>19604</v>
      </c>
      <c r="F310" s="9">
        <f>Table1[[#This Row],[annual_net_earnings_raw]]+(Table1[[#This Row],[annual_net_earnings_raw]]*Table1[[#This Row],[price_level_index_mean_deviance]])</f>
        <v>18251.324000000001</v>
      </c>
      <c r="G310" s="11">
        <f>IF(Table1[[#This Row],[date]]&lt;B309,"",(Table1[[#This Row],[european_earnings_index_raw]]-F309)/F309)</f>
        <v>-1.8197584564711149E-2</v>
      </c>
      <c r="H310" s="2">
        <f>_xlfn.IFNA(Table1[[#This Row],[annual_net_earnings_raw]], 0)</f>
        <v>19604</v>
      </c>
      <c r="I310" s="11"/>
    </row>
    <row r="311" spans="1:9" x14ac:dyDescent="0.25">
      <c r="A311" t="s">
        <v>35</v>
      </c>
      <c r="B311" t="s">
        <v>16</v>
      </c>
      <c r="C311">
        <v>106.7</v>
      </c>
      <c r="D311" s="3">
        <f>(100-Table1[[#This Row],[price_level_index]])/100</f>
        <v>-6.7000000000000032E-2</v>
      </c>
      <c r="E311" s="2">
        <v>19768</v>
      </c>
      <c r="F311" s="9">
        <f>Table1[[#This Row],[annual_net_earnings_raw]]+(Table1[[#This Row],[annual_net_earnings_raw]]*Table1[[#This Row],[price_level_index_mean_deviance]])</f>
        <v>18443.543999999998</v>
      </c>
      <c r="G311" s="11">
        <f>IF(Table1[[#This Row],[date]]&lt;B310,"",(Table1[[#This Row],[european_earnings_index_raw]]-F310)/F310)</f>
        <v>1.0531838676470678E-2</v>
      </c>
      <c r="H311" s="2">
        <f>_xlfn.IFNA(Table1[[#This Row],[annual_net_earnings_raw]], 0)</f>
        <v>19768</v>
      </c>
      <c r="I311" s="11"/>
    </row>
    <row r="312" spans="1:9" x14ac:dyDescent="0.25">
      <c r="A312" t="s">
        <v>35</v>
      </c>
      <c r="B312" t="s">
        <v>17</v>
      </c>
      <c r="C312">
        <v>105.3</v>
      </c>
      <c r="D312" s="3">
        <f>(100-Table1[[#This Row],[price_level_index]])/100</f>
        <v>-5.2999999999999971E-2</v>
      </c>
      <c r="E312" s="2">
        <v>20210</v>
      </c>
      <c r="F312" s="9">
        <f>Table1[[#This Row],[annual_net_earnings_raw]]+(Table1[[#This Row],[annual_net_earnings_raw]]*Table1[[#This Row],[price_level_index_mean_deviance]])</f>
        <v>19138.87</v>
      </c>
      <c r="G312" s="11">
        <f>IF(Table1[[#This Row],[date]]&lt;B311,"",(Table1[[#This Row],[european_earnings_index_raw]]-F311)/F311)</f>
        <v>3.7700238088731811E-2</v>
      </c>
      <c r="H312" s="2">
        <f>_xlfn.IFNA(Table1[[#This Row],[annual_net_earnings_raw]], 0)</f>
        <v>20210</v>
      </c>
      <c r="I312" s="11"/>
    </row>
    <row r="313" spans="1:9" x14ac:dyDescent="0.25">
      <c r="A313" t="s">
        <v>35</v>
      </c>
      <c r="B313" t="s">
        <v>18</v>
      </c>
      <c r="C313">
        <v>104.7</v>
      </c>
      <c r="D313" s="3">
        <f>(100-Table1[[#This Row],[price_level_index]])/100</f>
        <v>-4.7000000000000028E-2</v>
      </c>
      <c r="E313" s="2">
        <v>20384</v>
      </c>
      <c r="F313" s="9">
        <f>Table1[[#This Row],[annual_net_earnings_raw]]+(Table1[[#This Row],[annual_net_earnings_raw]]*Table1[[#This Row],[price_level_index_mean_deviance]])</f>
        <v>19425.952000000001</v>
      </c>
      <c r="G313" s="11">
        <f>IF(Table1[[#This Row],[date]]&lt;B312,"",(Table1[[#This Row],[european_earnings_index_raw]]-F312)/F312)</f>
        <v>1.4999945137826955E-2</v>
      </c>
      <c r="H313" s="2">
        <f>_xlfn.IFNA(Table1[[#This Row],[annual_net_earnings_raw]], 0)</f>
        <v>20384</v>
      </c>
      <c r="I313" s="11"/>
    </row>
    <row r="314" spans="1:9" x14ac:dyDescent="0.25">
      <c r="A314" t="s">
        <v>35</v>
      </c>
      <c r="B314" t="s">
        <v>19</v>
      </c>
      <c r="C314">
        <v>104.4</v>
      </c>
      <c r="D314" s="3">
        <f>(100-Table1[[#This Row],[price_level_index]])/100</f>
        <v>-4.400000000000006E-2</v>
      </c>
      <c r="E314" s="2">
        <v>20610</v>
      </c>
      <c r="F314" s="9">
        <f>Table1[[#This Row],[annual_net_earnings_raw]]+(Table1[[#This Row],[annual_net_earnings_raw]]*Table1[[#This Row],[price_level_index_mean_deviance]])</f>
        <v>19703.16</v>
      </c>
      <c r="G314" s="11">
        <f>IF(Table1[[#This Row],[date]]&lt;B313,"",(Table1[[#This Row],[european_earnings_index_raw]]-F313)/F313)</f>
        <v>1.4269982752968745E-2</v>
      </c>
      <c r="H314" s="2">
        <f>_xlfn.IFNA(Table1[[#This Row],[annual_net_earnings_raw]], 0)</f>
        <v>20610</v>
      </c>
      <c r="I314" s="11"/>
    </row>
    <row r="315" spans="1:9" x14ac:dyDescent="0.25">
      <c r="A315" t="s">
        <v>35</v>
      </c>
      <c r="B315" t="s">
        <v>20</v>
      </c>
      <c r="C315">
        <v>103</v>
      </c>
      <c r="D315" s="3">
        <f>(100-Table1[[#This Row],[price_level_index]])/100</f>
        <v>-0.03</v>
      </c>
      <c r="E315" s="2">
        <v>21149</v>
      </c>
      <c r="F315" s="9">
        <f>Table1[[#This Row],[annual_net_earnings_raw]]+(Table1[[#This Row],[annual_net_earnings_raw]]*Table1[[#This Row],[price_level_index_mean_deviance]])</f>
        <v>20514.53</v>
      </c>
      <c r="G315" s="11">
        <f>IF(Table1[[#This Row],[date]]&lt;B314,"",(Table1[[#This Row],[european_earnings_index_raw]]-F314)/F314)</f>
        <v>4.1179688943296357E-2</v>
      </c>
      <c r="H315" s="2">
        <f>_xlfn.IFNA(Table1[[#This Row],[annual_net_earnings_raw]], 0)</f>
        <v>21149</v>
      </c>
      <c r="I315" s="11"/>
    </row>
    <row r="316" spans="1:9" x14ac:dyDescent="0.25">
      <c r="A316" t="s">
        <v>35</v>
      </c>
      <c r="B316" t="s">
        <v>21</v>
      </c>
      <c r="C316">
        <v>102.5</v>
      </c>
      <c r="D316" s="3">
        <f>(100-Table1[[#This Row],[price_level_index]])/100</f>
        <v>-2.5000000000000001E-2</v>
      </c>
      <c r="E316" s="2">
        <v>22198</v>
      </c>
      <c r="F316" s="9">
        <f>Table1[[#This Row],[annual_net_earnings_raw]]+(Table1[[#This Row],[annual_net_earnings_raw]]*Table1[[#This Row],[price_level_index_mean_deviance]])</f>
        <v>21643.05</v>
      </c>
      <c r="G316" s="11">
        <f>IF(Table1[[#This Row],[date]]&lt;B315,"",(Table1[[#This Row],[european_earnings_index_raw]]-F315)/F315)</f>
        <v>5.5010765540326807E-2</v>
      </c>
      <c r="H316" s="2">
        <f>_xlfn.IFNA(Table1[[#This Row],[annual_net_earnings_raw]], 0)</f>
        <v>22198</v>
      </c>
      <c r="I316" s="11"/>
    </row>
    <row r="317" spans="1:9" x14ac:dyDescent="0.25">
      <c r="A317" t="s">
        <v>36</v>
      </c>
      <c r="B317" t="s">
        <v>1</v>
      </c>
      <c r="C317">
        <v>54</v>
      </c>
      <c r="D317" s="3">
        <f>(100-Table1[[#This Row],[price_level_index]])/100</f>
        <v>0.46</v>
      </c>
      <c r="E317" s="2">
        <v>2730</v>
      </c>
      <c r="F317" s="9">
        <f>Table1[[#This Row],[annual_net_earnings_raw]]+(Table1[[#This Row],[annual_net_earnings_raw]]*Table1[[#This Row],[price_level_index_mean_deviance]])</f>
        <v>3985.8</v>
      </c>
      <c r="G317" s="11" t="str">
        <f>IF(Table1[[#This Row],[date]]&lt;B316,"",(Table1[[#This Row],[european_earnings_index_raw]]-F316)/F316)</f>
        <v/>
      </c>
      <c r="H317" s="2">
        <f>_xlfn.IFNA(Table1[[#This Row],[annual_net_earnings_raw]], 0)</f>
        <v>2730</v>
      </c>
      <c r="I317" s="11"/>
    </row>
    <row r="318" spans="1:9" x14ac:dyDescent="0.25">
      <c r="A318" t="s">
        <v>36</v>
      </c>
      <c r="B318" t="s">
        <v>2</v>
      </c>
      <c r="C318">
        <v>53.2</v>
      </c>
      <c r="D318" s="3">
        <f>(100-Table1[[#This Row],[price_level_index]])/100</f>
        <v>0.46799999999999997</v>
      </c>
      <c r="E318" s="2">
        <v>2983</v>
      </c>
      <c r="F318" s="9">
        <f>Table1[[#This Row],[annual_net_earnings_raw]]+(Table1[[#This Row],[annual_net_earnings_raw]]*Table1[[#This Row],[price_level_index_mean_deviance]])</f>
        <v>4379.0439999999999</v>
      </c>
      <c r="G318" s="11">
        <f>IF(Table1[[#This Row],[date]]&lt;B317,"",(Table1[[#This Row],[european_earnings_index_raw]]-F317)/F317)</f>
        <v>9.8661247428370638E-2</v>
      </c>
      <c r="H318" s="2">
        <f>_xlfn.IFNA(Table1[[#This Row],[annual_net_earnings_raw]], 0)</f>
        <v>2983</v>
      </c>
      <c r="I318" s="11"/>
    </row>
    <row r="319" spans="1:9" x14ac:dyDescent="0.25">
      <c r="A319" t="s">
        <v>36</v>
      </c>
      <c r="B319" t="s">
        <v>3</v>
      </c>
      <c r="C319">
        <v>52.8</v>
      </c>
      <c r="D319" s="3">
        <f>(100-Table1[[#This Row],[price_level_index]])/100</f>
        <v>0.47200000000000003</v>
      </c>
      <c r="E319" s="2">
        <v>3191</v>
      </c>
      <c r="F319" s="9">
        <f>Table1[[#This Row],[annual_net_earnings_raw]]+(Table1[[#This Row],[annual_net_earnings_raw]]*Table1[[#This Row],[price_level_index_mean_deviance]])</f>
        <v>4697.152</v>
      </c>
      <c r="G319" s="11">
        <f>IF(Table1[[#This Row],[date]]&lt;B318,"",(Table1[[#This Row],[european_earnings_index_raw]]-F318)/F318)</f>
        <v>7.2643252728221086E-2</v>
      </c>
      <c r="H319" s="2">
        <f>_xlfn.IFNA(Table1[[#This Row],[annual_net_earnings_raw]], 0)</f>
        <v>3191</v>
      </c>
      <c r="I319" s="11"/>
    </row>
    <row r="320" spans="1:9" x14ac:dyDescent="0.25">
      <c r="A320" t="s">
        <v>36</v>
      </c>
      <c r="B320" t="s">
        <v>4</v>
      </c>
      <c r="C320">
        <v>50.6</v>
      </c>
      <c r="D320" s="3">
        <f>(100-Table1[[#This Row],[price_level_index]])/100</f>
        <v>0.49399999999999999</v>
      </c>
      <c r="E320" s="2">
        <v>3739</v>
      </c>
      <c r="F320" s="9">
        <f>Table1[[#This Row],[annual_net_earnings_raw]]+(Table1[[#This Row],[annual_net_earnings_raw]]*Table1[[#This Row],[price_level_index_mean_deviance]])</f>
        <v>5586.0659999999998</v>
      </c>
      <c r="G320" s="11">
        <f>IF(Table1[[#This Row],[date]]&lt;B319,"",(Table1[[#This Row],[european_earnings_index_raw]]-F319)/F319)</f>
        <v>0.18924531290450039</v>
      </c>
      <c r="H320" s="2">
        <f>_xlfn.IFNA(Table1[[#This Row],[annual_net_earnings_raw]], 0)</f>
        <v>3739</v>
      </c>
      <c r="I320" s="11"/>
    </row>
    <row r="321" spans="1:9" x14ac:dyDescent="0.25">
      <c r="A321" t="s">
        <v>36</v>
      </c>
      <c r="B321" t="s">
        <v>5</v>
      </c>
      <c r="C321">
        <v>52</v>
      </c>
      <c r="D321" s="3">
        <f>(100-Table1[[#This Row],[price_level_index]])/100</f>
        <v>0.48</v>
      </c>
      <c r="E321" s="2">
        <v>4078</v>
      </c>
      <c r="F321" s="9">
        <f>Table1[[#This Row],[annual_net_earnings_raw]]+(Table1[[#This Row],[annual_net_earnings_raw]]*Table1[[#This Row],[price_level_index_mean_deviance]])</f>
        <v>6035.44</v>
      </c>
      <c r="G321" s="11">
        <f>IF(Table1[[#This Row],[date]]&lt;B320,"",(Table1[[#This Row],[european_earnings_index_raw]]-F320)/F320)</f>
        <v>8.0445522842014366E-2</v>
      </c>
      <c r="H321" s="2">
        <f>_xlfn.IFNA(Table1[[#This Row],[annual_net_earnings_raw]], 0)</f>
        <v>4078</v>
      </c>
      <c r="I321" s="11"/>
    </row>
    <row r="322" spans="1:9" x14ac:dyDescent="0.25">
      <c r="A322" t="s">
        <v>36</v>
      </c>
      <c r="B322" t="s">
        <v>6</v>
      </c>
      <c r="C322">
        <v>53.9</v>
      </c>
      <c r="D322" s="3">
        <f>(100-Table1[[#This Row],[price_level_index]])/100</f>
        <v>0.46100000000000002</v>
      </c>
      <c r="E322" s="2">
        <v>4596</v>
      </c>
      <c r="F322" s="9">
        <f>Table1[[#This Row],[annual_net_earnings_raw]]+(Table1[[#This Row],[annual_net_earnings_raw]]*Table1[[#This Row],[price_level_index_mean_deviance]])</f>
        <v>6714.7560000000003</v>
      </c>
      <c r="G322" s="11">
        <f>IF(Table1[[#This Row],[date]]&lt;B321,"",(Table1[[#This Row],[european_earnings_index_raw]]-F321)/F321)</f>
        <v>0.11255451135294209</v>
      </c>
      <c r="H322" s="2">
        <f>_xlfn.IFNA(Table1[[#This Row],[annual_net_earnings_raw]], 0)</f>
        <v>4596</v>
      </c>
      <c r="I322" s="11"/>
    </row>
    <row r="323" spans="1:9" x14ac:dyDescent="0.25">
      <c r="A323" t="s">
        <v>36</v>
      </c>
      <c r="B323" t="s">
        <v>7</v>
      </c>
      <c r="C323">
        <v>60.2</v>
      </c>
      <c r="D323" s="3">
        <f>(100-Table1[[#This Row],[price_level_index]])/100</f>
        <v>0.39799999999999996</v>
      </c>
      <c r="E323" s="2">
        <v>5150</v>
      </c>
      <c r="F323" s="9">
        <f>Table1[[#This Row],[annual_net_earnings_raw]]+(Table1[[#This Row],[annual_net_earnings_raw]]*Table1[[#This Row],[price_level_index_mean_deviance]])</f>
        <v>7199.7</v>
      </c>
      <c r="G323" s="11">
        <f>IF(Table1[[#This Row],[date]]&lt;B322,"",(Table1[[#This Row],[european_earnings_index_raw]]-F322)/F322)</f>
        <v>7.2220643609387958E-2</v>
      </c>
      <c r="H323" s="2">
        <f>_xlfn.IFNA(Table1[[#This Row],[annual_net_earnings_raw]], 0)</f>
        <v>5150</v>
      </c>
      <c r="I323" s="11"/>
    </row>
    <row r="324" spans="1:9" x14ac:dyDescent="0.25">
      <c r="A324" t="s">
        <v>36</v>
      </c>
      <c r="B324" t="s">
        <v>8</v>
      </c>
      <c r="C324">
        <v>66.900000000000006</v>
      </c>
      <c r="D324" s="3">
        <f>(100-Table1[[#This Row],[price_level_index]])/100</f>
        <v>0.33099999999999996</v>
      </c>
      <c r="E324" s="2">
        <v>6169</v>
      </c>
      <c r="F324" s="9">
        <f>Table1[[#This Row],[annual_net_earnings_raw]]+(Table1[[#This Row],[annual_net_earnings_raw]]*Table1[[#This Row],[price_level_index_mean_deviance]])</f>
        <v>8210.9390000000003</v>
      </c>
      <c r="G324" s="11">
        <f>IF(Table1[[#This Row],[date]]&lt;B323,"",(Table1[[#This Row],[european_earnings_index_raw]]-F323)/F323)</f>
        <v>0.14045571343250421</v>
      </c>
      <c r="H324" s="2">
        <f>_xlfn.IFNA(Table1[[#This Row],[annual_net_earnings_raw]], 0)</f>
        <v>6169</v>
      </c>
      <c r="I324" s="11"/>
    </row>
    <row r="325" spans="1:9" x14ac:dyDescent="0.25">
      <c r="A325" t="s">
        <v>36</v>
      </c>
      <c r="B325" t="s">
        <v>9</v>
      </c>
      <c r="C325">
        <v>72.099999999999994</v>
      </c>
      <c r="D325" s="3">
        <f>(100-Table1[[#This Row],[price_level_index]])/100</f>
        <v>0.27900000000000008</v>
      </c>
      <c r="E325" s="2">
        <v>7025</v>
      </c>
      <c r="F325" s="9">
        <f>Table1[[#This Row],[annual_net_earnings_raw]]+(Table1[[#This Row],[annual_net_earnings_raw]]*Table1[[#This Row],[price_level_index_mean_deviance]])</f>
        <v>8984.9750000000004</v>
      </c>
      <c r="G325" s="11">
        <f>IF(Table1[[#This Row],[date]]&lt;B324,"",(Table1[[#This Row],[european_earnings_index_raw]]-F324)/F324)</f>
        <v>9.4268877164962503E-2</v>
      </c>
      <c r="H325" s="2">
        <f>_xlfn.IFNA(Table1[[#This Row],[annual_net_earnings_raw]], 0)</f>
        <v>7025</v>
      </c>
      <c r="I325" s="11"/>
    </row>
    <row r="326" spans="1:9" x14ac:dyDescent="0.25">
      <c r="A326" t="s">
        <v>36</v>
      </c>
      <c r="B326" t="s">
        <v>10</v>
      </c>
      <c r="C326">
        <v>69</v>
      </c>
      <c r="D326" s="3">
        <f>(100-Table1[[#This Row],[price_level_index]])/100</f>
        <v>0.31</v>
      </c>
      <c r="E326" s="2">
        <v>7213</v>
      </c>
      <c r="F326" s="9">
        <f>Table1[[#This Row],[annual_net_earnings_raw]]+(Table1[[#This Row],[annual_net_earnings_raw]]*Table1[[#This Row],[price_level_index_mean_deviance]])</f>
        <v>9449.0300000000007</v>
      </c>
      <c r="G326" s="11">
        <f>IF(Table1[[#This Row],[date]]&lt;B325,"",(Table1[[#This Row],[european_earnings_index_raw]]-F325)/F325)</f>
        <v>5.1647889949610351E-2</v>
      </c>
      <c r="H326" s="2">
        <f>_xlfn.IFNA(Table1[[#This Row],[annual_net_earnings_raw]], 0)</f>
        <v>7213</v>
      </c>
      <c r="I326" s="11"/>
    </row>
    <row r="327" spans="1:9" x14ac:dyDescent="0.25">
      <c r="A327" t="s">
        <v>36</v>
      </c>
      <c r="B327" t="s">
        <v>11</v>
      </c>
      <c r="C327">
        <v>63.6</v>
      </c>
      <c r="D327" s="3">
        <f>(100-Table1[[#This Row],[price_level_index]])/100</f>
        <v>0.36399999999999999</v>
      </c>
      <c r="E327" s="2">
        <v>7251</v>
      </c>
      <c r="F327" s="9">
        <f>Table1[[#This Row],[annual_net_earnings_raw]]+(Table1[[#This Row],[annual_net_earnings_raw]]*Table1[[#This Row],[price_level_index_mean_deviance]])</f>
        <v>9890.3639999999996</v>
      </c>
      <c r="G327" s="11">
        <f>IF(Table1[[#This Row],[date]]&lt;B326,"",(Table1[[#This Row],[european_earnings_index_raw]]-F326)/F326)</f>
        <v>4.670680482546874E-2</v>
      </c>
      <c r="H327" s="2">
        <f>_xlfn.IFNA(Table1[[#This Row],[annual_net_earnings_raw]], 0)</f>
        <v>7251</v>
      </c>
      <c r="I327" s="11"/>
    </row>
    <row r="328" spans="1:9" x14ac:dyDescent="0.25">
      <c r="A328" t="s">
        <v>36</v>
      </c>
      <c r="B328" t="s">
        <v>12</v>
      </c>
      <c r="C328">
        <v>66.8</v>
      </c>
      <c r="D328" s="3">
        <f>(100-Table1[[#This Row],[price_level_index]])/100</f>
        <v>0.33200000000000002</v>
      </c>
      <c r="E328" s="2">
        <v>7279</v>
      </c>
      <c r="F328" s="9">
        <f>Table1[[#This Row],[annual_net_earnings_raw]]+(Table1[[#This Row],[annual_net_earnings_raw]]*Table1[[#This Row],[price_level_index_mean_deviance]])</f>
        <v>9695.6280000000006</v>
      </c>
      <c r="G328" s="11">
        <f>IF(Table1[[#This Row],[date]]&lt;B327,"",(Table1[[#This Row],[european_earnings_index_raw]]-F327)/F327)</f>
        <v>-1.9689467445283004E-2</v>
      </c>
      <c r="H328" s="2">
        <f>_xlfn.IFNA(Table1[[#This Row],[annual_net_earnings_raw]], 0)</f>
        <v>7279</v>
      </c>
      <c r="I328" s="11"/>
    </row>
    <row r="329" spans="1:9" x14ac:dyDescent="0.25">
      <c r="A329" t="s">
        <v>36</v>
      </c>
      <c r="B329" t="s">
        <v>13</v>
      </c>
      <c r="C329">
        <v>68</v>
      </c>
      <c r="D329" s="3">
        <f>(100-Table1[[#This Row],[price_level_index]])/100</f>
        <v>0.32</v>
      </c>
      <c r="E329" s="2">
        <v>7394</v>
      </c>
      <c r="F329" s="9">
        <f>Table1[[#This Row],[annual_net_earnings_raw]]+(Table1[[#This Row],[annual_net_earnings_raw]]*Table1[[#This Row],[price_level_index_mean_deviance]])</f>
        <v>9760.08</v>
      </c>
      <c r="G329" s="11">
        <f>IF(Table1[[#This Row],[date]]&lt;B328,"",(Table1[[#This Row],[european_earnings_index_raw]]-F328)/F328)</f>
        <v>6.6475322691835238E-3</v>
      </c>
      <c r="H329" s="2">
        <f>_xlfn.IFNA(Table1[[#This Row],[annual_net_earnings_raw]], 0)</f>
        <v>7394</v>
      </c>
      <c r="I329" s="11"/>
    </row>
    <row r="330" spans="1:9" x14ac:dyDescent="0.25">
      <c r="A330" t="s">
        <v>36</v>
      </c>
      <c r="B330" t="s">
        <v>14</v>
      </c>
      <c r="C330">
        <v>67.900000000000006</v>
      </c>
      <c r="D330" s="3">
        <f>(100-Table1[[#This Row],[price_level_index]])/100</f>
        <v>0.32099999999999995</v>
      </c>
      <c r="E330" s="2">
        <v>7959</v>
      </c>
      <c r="F330" s="9">
        <f>Table1[[#This Row],[annual_net_earnings_raw]]+(Table1[[#This Row],[annual_net_earnings_raw]]*Table1[[#This Row],[price_level_index_mean_deviance]])</f>
        <v>10513.839</v>
      </c>
      <c r="G330" s="11">
        <f>IF(Table1[[#This Row],[date]]&lt;B329,"",(Table1[[#This Row],[european_earnings_index_raw]]-F329)/F329)</f>
        <v>7.7228772714977745E-2</v>
      </c>
      <c r="H330" s="2">
        <f>_xlfn.IFNA(Table1[[#This Row],[annual_net_earnings_raw]], 0)</f>
        <v>7959</v>
      </c>
      <c r="I330" s="11"/>
    </row>
    <row r="331" spans="1:9" x14ac:dyDescent="0.25">
      <c r="A331" t="s">
        <v>36</v>
      </c>
      <c r="B331" t="s">
        <v>15</v>
      </c>
      <c r="C331">
        <v>68.8</v>
      </c>
      <c r="D331" s="3">
        <f>(100-Table1[[#This Row],[price_level_index]])/100</f>
        <v>0.31200000000000006</v>
      </c>
      <c r="E331" s="2">
        <v>8500</v>
      </c>
      <c r="F331" s="9">
        <f>Table1[[#This Row],[annual_net_earnings_raw]]+(Table1[[#This Row],[annual_net_earnings_raw]]*Table1[[#This Row],[price_level_index_mean_deviance]])</f>
        <v>11152</v>
      </c>
      <c r="G331" s="11">
        <f>IF(Table1[[#This Row],[date]]&lt;B330,"",(Table1[[#This Row],[european_earnings_index_raw]]-F330)/F330)</f>
        <v>6.0697239134059409E-2</v>
      </c>
      <c r="H331" s="2">
        <f>_xlfn.IFNA(Table1[[#This Row],[annual_net_earnings_raw]], 0)</f>
        <v>8500</v>
      </c>
      <c r="I331" s="11"/>
    </row>
    <row r="332" spans="1:9" x14ac:dyDescent="0.25">
      <c r="A332" t="s">
        <v>36</v>
      </c>
      <c r="B332" t="s">
        <v>16</v>
      </c>
      <c r="C332">
        <v>68.3</v>
      </c>
      <c r="D332" s="3">
        <f>(100-Table1[[#This Row],[price_level_index]])/100</f>
        <v>0.317</v>
      </c>
      <c r="E332" s="2">
        <v>9313</v>
      </c>
      <c r="F332" s="9">
        <f>Table1[[#This Row],[annual_net_earnings_raw]]+(Table1[[#This Row],[annual_net_earnings_raw]]*Table1[[#This Row],[price_level_index_mean_deviance]])</f>
        <v>12265.221</v>
      </c>
      <c r="G332" s="11">
        <f>IF(Table1[[#This Row],[date]]&lt;B331,"",(Table1[[#This Row],[european_earnings_index_raw]]-F331)/F331)</f>
        <v>9.9822543041606843E-2</v>
      </c>
      <c r="H332" s="2">
        <f>_xlfn.IFNA(Table1[[#This Row],[annual_net_earnings_raw]], 0)</f>
        <v>9313</v>
      </c>
      <c r="I332" s="11"/>
    </row>
    <row r="333" spans="1:9" x14ac:dyDescent="0.25">
      <c r="A333" t="s">
        <v>36</v>
      </c>
      <c r="B333" t="s">
        <v>17</v>
      </c>
      <c r="C333">
        <v>69.5</v>
      </c>
      <c r="D333" s="3">
        <f>(100-Table1[[#This Row],[price_level_index]])/100</f>
        <v>0.30499999999999999</v>
      </c>
      <c r="E333" s="2">
        <v>9684</v>
      </c>
      <c r="F333" s="9">
        <f>Table1[[#This Row],[annual_net_earnings_raw]]+(Table1[[#This Row],[annual_net_earnings_raw]]*Table1[[#This Row],[price_level_index_mean_deviance]])</f>
        <v>12637.619999999999</v>
      </c>
      <c r="G333" s="11">
        <f>IF(Table1[[#This Row],[date]]&lt;B332,"",(Table1[[#This Row],[european_earnings_index_raw]]-F332)/F332)</f>
        <v>3.0362192413817855E-2</v>
      </c>
      <c r="H333" s="2">
        <f>_xlfn.IFNA(Table1[[#This Row],[annual_net_earnings_raw]], 0)</f>
        <v>9684</v>
      </c>
      <c r="I333" s="11"/>
    </row>
    <row r="334" spans="1:9" x14ac:dyDescent="0.25">
      <c r="A334" t="s">
        <v>36</v>
      </c>
      <c r="B334" t="s">
        <v>18</v>
      </c>
      <c r="C334">
        <v>70.2</v>
      </c>
      <c r="D334" s="3">
        <f>(100-Table1[[#This Row],[price_level_index]])/100</f>
        <v>0.29799999999999999</v>
      </c>
      <c r="E334" s="2">
        <v>10370</v>
      </c>
      <c r="F334" s="9">
        <f>Table1[[#This Row],[annual_net_earnings_raw]]+(Table1[[#This Row],[annual_net_earnings_raw]]*Table1[[#This Row],[price_level_index_mean_deviance]])</f>
        <v>13460.26</v>
      </c>
      <c r="G334" s="11">
        <f>IF(Table1[[#This Row],[date]]&lt;B333,"",(Table1[[#This Row],[european_earnings_index_raw]]-F333)/F333)</f>
        <v>6.5094535205204876E-2</v>
      </c>
      <c r="H334" s="2">
        <f>_xlfn.IFNA(Table1[[#This Row],[annual_net_earnings_raw]], 0)</f>
        <v>10370</v>
      </c>
      <c r="I334" s="11"/>
    </row>
    <row r="335" spans="1:9" x14ac:dyDescent="0.25">
      <c r="A335" t="s">
        <v>36</v>
      </c>
      <c r="B335" t="s">
        <v>19</v>
      </c>
      <c r="C335">
        <v>72.099999999999994</v>
      </c>
      <c r="D335" s="3">
        <f>(100-Table1[[#This Row],[price_level_index]])/100</f>
        <v>0.27900000000000008</v>
      </c>
      <c r="E335" s="2">
        <v>11048</v>
      </c>
      <c r="F335" s="9">
        <f>Table1[[#This Row],[annual_net_earnings_raw]]+(Table1[[#This Row],[annual_net_earnings_raw]]*Table1[[#This Row],[price_level_index_mean_deviance]])</f>
        <v>14130.392</v>
      </c>
      <c r="G335" s="11">
        <f>IF(Table1[[#This Row],[date]]&lt;B334,"",(Table1[[#This Row],[european_earnings_index_raw]]-F334)/F334)</f>
        <v>4.9785962529698503E-2</v>
      </c>
      <c r="H335" s="2">
        <f>_xlfn.IFNA(Table1[[#This Row],[annual_net_earnings_raw]], 0)</f>
        <v>11048</v>
      </c>
      <c r="I335" s="11"/>
    </row>
    <row r="336" spans="1:9" x14ac:dyDescent="0.25">
      <c r="A336" t="s">
        <v>36</v>
      </c>
      <c r="B336" t="s">
        <v>20</v>
      </c>
      <c r="C336">
        <v>73.8</v>
      </c>
      <c r="D336" s="3">
        <f>(100-Table1[[#This Row],[price_level_index]])/100</f>
        <v>0.26200000000000001</v>
      </c>
      <c r="E336" s="2">
        <v>11734</v>
      </c>
      <c r="F336" s="9">
        <f>Table1[[#This Row],[annual_net_earnings_raw]]+(Table1[[#This Row],[annual_net_earnings_raw]]*Table1[[#This Row],[price_level_index_mean_deviance]])</f>
        <v>14808.308000000001</v>
      </c>
      <c r="G336" s="11">
        <f>IF(Table1[[#This Row],[date]]&lt;B335,"",(Table1[[#This Row],[european_earnings_index_raw]]-F335)/F335)</f>
        <v>4.7975739101930155E-2</v>
      </c>
      <c r="H336" s="2">
        <f>_xlfn.IFNA(Table1[[#This Row],[annual_net_earnings_raw]], 0)</f>
        <v>11734</v>
      </c>
      <c r="I336" s="11"/>
    </row>
    <row r="337" spans="1:9" x14ac:dyDescent="0.25">
      <c r="A337" t="s">
        <v>36</v>
      </c>
      <c r="B337" t="s">
        <v>21</v>
      </c>
      <c r="C337">
        <v>74.099999999999994</v>
      </c>
      <c r="D337" s="3">
        <f>(100-Table1[[#This Row],[price_level_index]])/100</f>
        <v>0.25900000000000006</v>
      </c>
      <c r="E337" s="2">
        <v>12474</v>
      </c>
      <c r="F337" s="9">
        <f>Table1[[#This Row],[annual_net_earnings_raw]]+(Table1[[#This Row],[annual_net_earnings_raw]]*Table1[[#This Row],[price_level_index_mean_deviance]])</f>
        <v>15704.766000000001</v>
      </c>
      <c r="G337" s="11">
        <f>IF(Table1[[#This Row],[date]]&lt;B336,"",(Table1[[#This Row],[european_earnings_index_raw]]-F336)/F336)</f>
        <v>6.0537503676990005E-2</v>
      </c>
      <c r="H337" s="2">
        <f>_xlfn.IFNA(Table1[[#This Row],[annual_net_earnings_raw]], 0)</f>
        <v>12474</v>
      </c>
      <c r="I337" s="11"/>
    </row>
    <row r="338" spans="1:9" x14ac:dyDescent="0.25">
      <c r="A338" t="s">
        <v>37</v>
      </c>
      <c r="B338" t="s">
        <v>1</v>
      </c>
      <c r="C338">
        <v>48.7</v>
      </c>
      <c r="D338" s="3">
        <f>(100-Table1[[#This Row],[price_level_index]])/100</f>
        <v>0.51300000000000001</v>
      </c>
      <c r="E338" s="2">
        <v>4106</v>
      </c>
      <c r="F338" s="9">
        <f>Table1[[#This Row],[annual_net_earnings_raw]]+(Table1[[#This Row],[annual_net_earnings_raw]]*Table1[[#This Row],[price_level_index_mean_deviance]])</f>
        <v>6212.3780000000006</v>
      </c>
      <c r="G338" s="11" t="str">
        <f>IF(Table1[[#This Row],[date]]&lt;B337,"",(Table1[[#This Row],[european_earnings_index_raw]]-F337)/F337)</f>
        <v/>
      </c>
      <c r="H338" s="2">
        <f>_xlfn.IFNA(Table1[[#This Row],[annual_net_earnings_raw]], 0)</f>
        <v>4106</v>
      </c>
      <c r="I338" s="11"/>
    </row>
    <row r="339" spans="1:9" x14ac:dyDescent="0.25">
      <c r="A339" t="s">
        <v>37</v>
      </c>
      <c r="B339" t="s">
        <v>2</v>
      </c>
      <c r="C339">
        <v>49.6</v>
      </c>
      <c r="D339" s="3">
        <f>(100-Table1[[#This Row],[price_level_index]])/100</f>
        <v>0.504</v>
      </c>
      <c r="E339" s="2">
        <v>4160</v>
      </c>
      <c r="F339" s="9">
        <f>Table1[[#This Row],[annual_net_earnings_raw]]+(Table1[[#This Row],[annual_net_earnings_raw]]*Table1[[#This Row],[price_level_index_mean_deviance]])</f>
        <v>6256.6399999999994</v>
      </c>
      <c r="G339" s="11">
        <f>IF(Table1[[#This Row],[date]]&lt;B338,"",(Table1[[#This Row],[european_earnings_index_raw]]-F338)/F338)</f>
        <v>7.1248079237932402E-3</v>
      </c>
      <c r="H339" s="2">
        <f>_xlfn.IFNA(Table1[[#This Row],[annual_net_earnings_raw]], 0)</f>
        <v>4160</v>
      </c>
      <c r="I339" s="11"/>
    </row>
    <row r="340" spans="1:9" x14ac:dyDescent="0.25">
      <c r="A340" t="s">
        <v>37</v>
      </c>
      <c r="B340" t="s">
        <v>3</v>
      </c>
      <c r="C340">
        <v>49.9</v>
      </c>
      <c r="D340" s="3">
        <f>(100-Table1[[#This Row],[price_level_index]])/100</f>
        <v>0.501</v>
      </c>
      <c r="E340" s="2">
        <v>4440</v>
      </c>
      <c r="F340" s="9">
        <f>Table1[[#This Row],[annual_net_earnings_raw]]+(Table1[[#This Row],[annual_net_earnings_raw]]*Table1[[#This Row],[price_level_index_mean_deviance]])</f>
        <v>6664.4400000000005</v>
      </c>
      <c r="G340" s="11">
        <f>IF(Table1[[#This Row],[date]]&lt;B339,"",(Table1[[#This Row],[european_earnings_index_raw]]-F339)/F339)</f>
        <v>6.5178754091653204E-2</v>
      </c>
      <c r="H340" s="2">
        <f>_xlfn.IFNA(Table1[[#This Row],[annual_net_earnings_raw]], 0)</f>
        <v>4440</v>
      </c>
      <c r="I340" s="11"/>
    </row>
    <row r="341" spans="1:9" x14ac:dyDescent="0.25">
      <c r="A341" t="s">
        <v>37</v>
      </c>
      <c r="B341" t="s">
        <v>4</v>
      </c>
      <c r="C341">
        <v>47.4</v>
      </c>
      <c r="D341" s="3">
        <f>(100-Table1[[#This Row],[price_level_index]])/100</f>
        <v>0.52600000000000002</v>
      </c>
      <c r="E341" s="2">
        <v>5047</v>
      </c>
      <c r="F341" s="9">
        <f>Table1[[#This Row],[annual_net_earnings_raw]]+(Table1[[#This Row],[annual_net_earnings_raw]]*Table1[[#This Row],[price_level_index_mean_deviance]])</f>
        <v>7701.7219999999998</v>
      </c>
      <c r="G341" s="11">
        <f>IF(Table1[[#This Row],[date]]&lt;B340,"",(Table1[[#This Row],[european_earnings_index_raw]]-F340)/F340)</f>
        <v>0.15564428519125376</v>
      </c>
      <c r="H341" s="2">
        <f>_xlfn.IFNA(Table1[[#This Row],[annual_net_earnings_raw]], 0)</f>
        <v>5047</v>
      </c>
      <c r="I341" s="11"/>
    </row>
    <row r="342" spans="1:9" x14ac:dyDescent="0.25">
      <c r="A342" t="s">
        <v>37</v>
      </c>
      <c r="B342" t="s">
        <v>5</v>
      </c>
      <c r="C342">
        <v>48.6</v>
      </c>
      <c r="D342" s="3">
        <f>(100-Table1[[#This Row],[price_level_index]])/100</f>
        <v>0.51400000000000001</v>
      </c>
      <c r="E342" s="2">
        <v>5305</v>
      </c>
      <c r="F342" s="9">
        <f>Table1[[#This Row],[annual_net_earnings_raw]]+(Table1[[#This Row],[annual_net_earnings_raw]]*Table1[[#This Row],[price_level_index_mean_deviance]])</f>
        <v>8031.77</v>
      </c>
      <c r="G342" s="11">
        <f>IF(Table1[[#This Row],[date]]&lt;B341,"",(Table1[[#This Row],[european_earnings_index_raw]]-F341)/F341)</f>
        <v>4.2853792956951797E-2</v>
      </c>
      <c r="H342" s="2">
        <f>_xlfn.IFNA(Table1[[#This Row],[annual_net_earnings_raw]], 0)</f>
        <v>5305</v>
      </c>
      <c r="I342" s="11"/>
    </row>
    <row r="343" spans="1:9" x14ac:dyDescent="0.25">
      <c r="A343" t="s">
        <v>37</v>
      </c>
      <c r="B343" t="s">
        <v>6</v>
      </c>
      <c r="C343">
        <v>50.7</v>
      </c>
      <c r="D343" s="3">
        <f>(100-Table1[[#This Row],[price_level_index]])/100</f>
        <v>0.49299999999999999</v>
      </c>
      <c r="E343" s="2">
        <v>5610</v>
      </c>
      <c r="F343" s="9">
        <f>Table1[[#This Row],[annual_net_earnings_raw]]+(Table1[[#This Row],[annual_net_earnings_raw]]*Table1[[#This Row],[price_level_index_mean_deviance]])</f>
        <v>8375.73</v>
      </c>
      <c r="G343" s="11">
        <f>IF(Table1[[#This Row],[date]]&lt;B342,"",(Table1[[#This Row],[european_earnings_index_raw]]-F342)/F342)</f>
        <v>4.2824931490816981E-2</v>
      </c>
      <c r="H343" s="2">
        <f>_xlfn.IFNA(Table1[[#This Row],[annual_net_earnings_raw]], 0)</f>
        <v>5610</v>
      </c>
      <c r="I343" s="11"/>
    </row>
    <row r="344" spans="1:9" x14ac:dyDescent="0.25">
      <c r="A344" t="s">
        <v>37</v>
      </c>
      <c r="B344" t="s">
        <v>7</v>
      </c>
      <c r="C344">
        <v>53.8</v>
      </c>
      <c r="D344" s="3">
        <f>(100-Table1[[#This Row],[price_level_index]])/100</f>
        <v>0.46200000000000002</v>
      </c>
      <c r="E344" s="2">
        <v>6352</v>
      </c>
      <c r="F344" s="9">
        <f>Table1[[#This Row],[annual_net_earnings_raw]]+(Table1[[#This Row],[annual_net_earnings_raw]]*Table1[[#This Row],[price_level_index_mean_deviance]])</f>
        <v>9286.6239999999998</v>
      </c>
      <c r="G344" s="11">
        <f>IF(Table1[[#This Row],[date]]&lt;B343,"",(Table1[[#This Row],[european_earnings_index_raw]]-F343)/F343)</f>
        <v>0.10875398323489419</v>
      </c>
      <c r="H344" s="2">
        <f>_xlfn.IFNA(Table1[[#This Row],[annual_net_earnings_raw]], 0)</f>
        <v>6352</v>
      </c>
      <c r="I344" s="11"/>
    </row>
    <row r="345" spans="1:9" x14ac:dyDescent="0.25">
      <c r="A345" t="s">
        <v>37</v>
      </c>
      <c r="B345" t="s">
        <v>8</v>
      </c>
      <c r="C345">
        <v>56.8</v>
      </c>
      <c r="D345" s="3">
        <f>(100-Table1[[#This Row],[price_level_index]])/100</f>
        <v>0.43200000000000005</v>
      </c>
      <c r="E345" s="2">
        <v>7640</v>
      </c>
      <c r="F345" s="9">
        <f>Table1[[#This Row],[annual_net_earnings_raw]]+(Table1[[#This Row],[annual_net_earnings_raw]]*Table1[[#This Row],[price_level_index_mean_deviance]])</f>
        <v>10940.48</v>
      </c>
      <c r="G345" s="11">
        <f>IF(Table1[[#This Row],[date]]&lt;B344,"",(Table1[[#This Row],[european_earnings_index_raw]]-F344)/F344)</f>
        <v>0.17809012187852116</v>
      </c>
      <c r="H345" s="2">
        <f>_xlfn.IFNA(Table1[[#This Row],[annual_net_earnings_raw]], 0)</f>
        <v>7640</v>
      </c>
      <c r="I345" s="11"/>
    </row>
    <row r="346" spans="1:9" x14ac:dyDescent="0.25">
      <c r="A346" t="s">
        <v>37</v>
      </c>
      <c r="B346" t="s">
        <v>9</v>
      </c>
      <c r="C346">
        <v>61.2</v>
      </c>
      <c r="D346" s="3">
        <f>(100-Table1[[#This Row],[price_level_index]])/100</f>
        <v>0.38799999999999996</v>
      </c>
      <c r="E346" s="2">
        <v>8597</v>
      </c>
      <c r="F346" s="9">
        <f>Table1[[#This Row],[annual_net_earnings_raw]]+(Table1[[#This Row],[annual_net_earnings_raw]]*Table1[[#This Row],[price_level_index_mean_deviance]])</f>
        <v>11932.635999999999</v>
      </c>
      <c r="G346" s="11">
        <f>IF(Table1[[#This Row],[date]]&lt;B345,"",(Table1[[#This Row],[european_earnings_index_raw]]-F345)/F345)</f>
        <v>9.0686697475796219E-2</v>
      </c>
      <c r="H346" s="2">
        <f>_xlfn.IFNA(Table1[[#This Row],[annual_net_earnings_raw]], 0)</f>
        <v>8597</v>
      </c>
      <c r="I346" s="11"/>
    </row>
    <row r="347" spans="1:9" x14ac:dyDescent="0.25">
      <c r="A347" t="s">
        <v>37</v>
      </c>
      <c r="B347" t="s">
        <v>10</v>
      </c>
      <c r="C347">
        <v>61.1</v>
      </c>
      <c r="D347" s="3">
        <f>(100-Table1[[#This Row],[price_level_index]])/100</f>
        <v>0.38900000000000001</v>
      </c>
      <c r="E347" s="2">
        <v>8100</v>
      </c>
      <c r="F347" s="9">
        <f>Table1[[#This Row],[annual_net_earnings_raw]]+(Table1[[#This Row],[annual_net_earnings_raw]]*Table1[[#This Row],[price_level_index_mean_deviance]])</f>
        <v>11250.9</v>
      </c>
      <c r="G347" s="11">
        <f>IF(Table1[[#This Row],[date]]&lt;B346,"",(Table1[[#This Row],[european_earnings_index_raw]]-F346)/F346)</f>
        <v>-5.7132053638441586E-2</v>
      </c>
      <c r="H347" s="2">
        <f>_xlfn.IFNA(Table1[[#This Row],[annual_net_earnings_raw]], 0)</f>
        <v>8100</v>
      </c>
      <c r="I347" s="11"/>
    </row>
    <row r="348" spans="1:9" x14ac:dyDescent="0.25">
      <c r="A348" t="s">
        <v>37</v>
      </c>
      <c r="B348" t="s">
        <v>11</v>
      </c>
      <c r="C348">
        <v>59</v>
      </c>
      <c r="D348" s="3">
        <f>(100-Table1[[#This Row],[price_level_index]])/100</f>
        <v>0.41</v>
      </c>
      <c r="E348" s="2">
        <v>8157</v>
      </c>
      <c r="F348" s="9">
        <f>Table1[[#This Row],[annual_net_earnings_raw]]+(Table1[[#This Row],[annual_net_earnings_raw]]*Table1[[#This Row],[price_level_index_mean_deviance]])</f>
        <v>11501.369999999999</v>
      </c>
      <c r="G348" s="11">
        <f>IF(Table1[[#This Row],[date]]&lt;B347,"",(Table1[[#This Row],[european_earnings_index_raw]]-F347)/F347)</f>
        <v>2.2262219022478144E-2</v>
      </c>
      <c r="H348" s="2">
        <f>_xlfn.IFNA(Table1[[#This Row],[annual_net_earnings_raw]], 0)</f>
        <v>8157</v>
      </c>
      <c r="I348" s="11"/>
    </row>
    <row r="349" spans="1:9" x14ac:dyDescent="0.25">
      <c r="A349" t="s">
        <v>37</v>
      </c>
      <c r="B349" t="s">
        <v>12</v>
      </c>
      <c r="C349">
        <v>59.5</v>
      </c>
      <c r="D349" s="3">
        <f>(100-Table1[[#This Row],[price_level_index]])/100</f>
        <v>0.40500000000000003</v>
      </c>
      <c r="E349" s="2">
        <v>8264</v>
      </c>
      <c r="F349" s="9">
        <f>Table1[[#This Row],[annual_net_earnings_raw]]+(Table1[[#This Row],[annual_net_earnings_raw]]*Table1[[#This Row],[price_level_index_mean_deviance]])</f>
        <v>11610.92</v>
      </c>
      <c r="G349" s="11">
        <f>IF(Table1[[#This Row],[date]]&lt;B348,"",(Table1[[#This Row],[european_earnings_index_raw]]-F348)/F348)</f>
        <v>9.5249522448196261E-3</v>
      </c>
      <c r="H349" s="2">
        <f>_xlfn.IFNA(Table1[[#This Row],[annual_net_earnings_raw]], 0)</f>
        <v>8264</v>
      </c>
      <c r="I349" s="11"/>
    </row>
    <row r="350" spans="1:9" x14ac:dyDescent="0.25">
      <c r="A350" t="s">
        <v>37</v>
      </c>
      <c r="B350" t="s">
        <v>13</v>
      </c>
      <c r="C350">
        <v>59.9</v>
      </c>
      <c r="D350" s="3">
        <f>(100-Table1[[#This Row],[price_level_index]])/100</f>
        <v>0.40100000000000002</v>
      </c>
      <c r="E350" s="2">
        <v>8600</v>
      </c>
      <c r="F350" s="9">
        <f>Table1[[#This Row],[annual_net_earnings_raw]]+(Table1[[#This Row],[annual_net_earnings_raw]]*Table1[[#This Row],[price_level_index_mean_deviance]])</f>
        <v>12048.6</v>
      </c>
      <c r="G350" s="11">
        <f>IF(Table1[[#This Row],[date]]&lt;B349,"",(Table1[[#This Row],[european_earnings_index_raw]]-F349)/F349)</f>
        <v>3.7695548673145653E-2</v>
      </c>
      <c r="H350" s="2">
        <f>_xlfn.IFNA(Table1[[#This Row],[annual_net_earnings_raw]], 0)</f>
        <v>8600</v>
      </c>
      <c r="I350" s="11"/>
    </row>
    <row r="351" spans="1:9" x14ac:dyDescent="0.25">
      <c r="A351" t="s">
        <v>37</v>
      </c>
      <c r="B351" t="s">
        <v>14</v>
      </c>
      <c r="C351">
        <v>59.5</v>
      </c>
      <c r="D351" s="3">
        <f>(100-Table1[[#This Row],[price_level_index]])/100</f>
        <v>0.40500000000000003</v>
      </c>
      <c r="E351" s="2">
        <v>9197</v>
      </c>
      <c r="F351" s="9">
        <f>Table1[[#This Row],[annual_net_earnings_raw]]+(Table1[[#This Row],[annual_net_earnings_raw]]*Table1[[#This Row],[price_level_index_mean_deviance]])</f>
        <v>12921.785</v>
      </c>
      <c r="G351" s="11">
        <f>IF(Table1[[#This Row],[date]]&lt;B350,"",(Table1[[#This Row],[european_earnings_index_raw]]-F350)/F350)</f>
        <v>7.2471905449595753E-2</v>
      </c>
      <c r="H351" s="2">
        <f>_xlfn.IFNA(Table1[[#This Row],[annual_net_earnings_raw]], 0)</f>
        <v>9197</v>
      </c>
      <c r="I351" s="11"/>
    </row>
    <row r="352" spans="1:9" x14ac:dyDescent="0.25">
      <c r="A352" t="s">
        <v>37</v>
      </c>
      <c r="B352" t="s">
        <v>15</v>
      </c>
      <c r="C352">
        <v>59.3</v>
      </c>
      <c r="D352" s="3">
        <f>(100-Table1[[#This Row],[price_level_index]])/100</f>
        <v>0.40700000000000003</v>
      </c>
      <c r="E352" s="2">
        <v>9718</v>
      </c>
      <c r="F352" s="9">
        <f>Table1[[#This Row],[annual_net_earnings_raw]]+(Table1[[#This Row],[annual_net_earnings_raw]]*Table1[[#This Row],[price_level_index_mean_deviance]])</f>
        <v>13673.226000000001</v>
      </c>
      <c r="G352" s="11">
        <f>IF(Table1[[#This Row],[date]]&lt;B351,"",(Table1[[#This Row],[european_earnings_index_raw]]-F351)/F351)</f>
        <v>5.8153033810731315E-2</v>
      </c>
      <c r="H352" s="2">
        <f>_xlfn.IFNA(Table1[[#This Row],[annual_net_earnings_raw]], 0)</f>
        <v>9718</v>
      </c>
      <c r="I352" s="11"/>
    </row>
    <row r="353" spans="1:9" x14ac:dyDescent="0.25">
      <c r="A353" t="s">
        <v>37</v>
      </c>
      <c r="B353" t="s">
        <v>16</v>
      </c>
      <c r="C353">
        <v>59.4</v>
      </c>
      <c r="D353" s="3">
        <f>(100-Table1[[#This Row],[price_level_index]])/100</f>
        <v>0.40600000000000003</v>
      </c>
      <c r="E353" s="2">
        <v>10368</v>
      </c>
      <c r="F353" s="9">
        <f>Table1[[#This Row],[annual_net_earnings_raw]]+(Table1[[#This Row],[annual_net_earnings_raw]]*Table1[[#This Row],[price_level_index_mean_deviance]])</f>
        <v>14577.407999999999</v>
      </c>
      <c r="G353" s="11">
        <f>IF(Table1[[#This Row],[date]]&lt;B352,"",(Table1[[#This Row],[european_earnings_index_raw]]-F352)/F352)</f>
        <v>6.6127920360564418E-2</v>
      </c>
      <c r="H353" s="2">
        <f>_xlfn.IFNA(Table1[[#This Row],[annual_net_earnings_raw]], 0)</f>
        <v>10368</v>
      </c>
      <c r="I353" s="11"/>
    </row>
    <row r="354" spans="1:9" x14ac:dyDescent="0.25">
      <c r="A354" t="s">
        <v>37</v>
      </c>
      <c r="B354" t="s">
        <v>17</v>
      </c>
      <c r="C354">
        <v>60.6</v>
      </c>
      <c r="D354" s="3">
        <f>(100-Table1[[#This Row],[price_level_index]])/100</f>
        <v>0.39399999999999996</v>
      </c>
      <c r="E354" s="2">
        <v>11082</v>
      </c>
      <c r="F354" s="9">
        <f>Table1[[#This Row],[annual_net_earnings_raw]]+(Table1[[#This Row],[annual_net_earnings_raw]]*Table1[[#This Row],[price_level_index_mean_deviance]])</f>
        <v>15448.308000000001</v>
      </c>
      <c r="G354" s="11">
        <f>IF(Table1[[#This Row],[date]]&lt;B353,"",(Table1[[#This Row],[european_earnings_index_raw]]-F353)/F353)</f>
        <v>5.9743131289184022E-2</v>
      </c>
      <c r="H354" s="2">
        <f>_xlfn.IFNA(Table1[[#This Row],[annual_net_earnings_raw]], 0)</f>
        <v>11082</v>
      </c>
      <c r="I354" s="11"/>
    </row>
    <row r="355" spans="1:9" x14ac:dyDescent="0.25">
      <c r="A355" t="s">
        <v>37</v>
      </c>
      <c r="B355" t="s">
        <v>18</v>
      </c>
      <c r="C355">
        <v>61.5</v>
      </c>
      <c r="D355" s="3">
        <f>(100-Table1[[#This Row],[price_level_index]])/100</f>
        <v>0.38500000000000001</v>
      </c>
      <c r="E355" s="2">
        <v>11953</v>
      </c>
      <c r="F355" s="9">
        <f>Table1[[#This Row],[annual_net_earnings_raw]]+(Table1[[#This Row],[annual_net_earnings_raw]]*Table1[[#This Row],[price_level_index_mean_deviance]])</f>
        <v>16554.904999999999</v>
      </c>
      <c r="G355" s="11">
        <f>IF(Table1[[#This Row],[date]]&lt;B354,"",(Table1[[#This Row],[european_earnings_index_raw]]-F354)/F354)</f>
        <v>7.1632246068630806E-2</v>
      </c>
      <c r="H355" s="2">
        <f>_xlfn.IFNA(Table1[[#This Row],[annual_net_earnings_raw]], 0)</f>
        <v>11953</v>
      </c>
      <c r="I355" s="11"/>
    </row>
    <row r="356" spans="1:9" x14ac:dyDescent="0.25">
      <c r="A356" t="s">
        <v>37</v>
      </c>
      <c r="B356" t="s">
        <v>19</v>
      </c>
      <c r="C356">
        <v>63.5</v>
      </c>
      <c r="D356" s="3">
        <f>(100-Table1[[#This Row],[price_level_index]])/100</f>
        <v>0.36499999999999999</v>
      </c>
      <c r="E356" s="2">
        <v>12871</v>
      </c>
      <c r="F356" s="9">
        <f>Table1[[#This Row],[annual_net_earnings_raw]]+(Table1[[#This Row],[annual_net_earnings_raw]]*Table1[[#This Row],[price_level_index_mean_deviance]])</f>
        <v>17568.915000000001</v>
      </c>
      <c r="G356" s="11">
        <f>IF(Table1[[#This Row],[date]]&lt;B355,"",(Table1[[#This Row],[european_earnings_index_raw]]-F355)/F355)</f>
        <v>6.1251333064128249E-2</v>
      </c>
      <c r="H356" s="2">
        <f>_xlfn.IFNA(Table1[[#This Row],[annual_net_earnings_raw]], 0)</f>
        <v>12871</v>
      </c>
      <c r="I356" s="11"/>
    </row>
    <row r="357" spans="1:9" x14ac:dyDescent="0.25">
      <c r="A357" t="s">
        <v>37</v>
      </c>
      <c r="B357" t="s">
        <v>20</v>
      </c>
      <c r="C357">
        <v>64.099999999999994</v>
      </c>
      <c r="D357" s="3">
        <f>(100-Table1[[#This Row],[price_level_index]])/100</f>
        <v>0.35900000000000004</v>
      </c>
      <c r="E357" s="2">
        <v>14401</v>
      </c>
      <c r="F357" s="9">
        <f>Table1[[#This Row],[annual_net_earnings_raw]]+(Table1[[#This Row],[annual_net_earnings_raw]]*Table1[[#This Row],[price_level_index_mean_deviance]])</f>
        <v>19570.959000000003</v>
      </c>
      <c r="G357" s="11">
        <f>IF(Table1[[#This Row],[date]]&lt;B356,"",(Table1[[#This Row],[european_earnings_index_raw]]-F356)/F356)</f>
        <v>0.11395376436165816</v>
      </c>
      <c r="H357" s="2">
        <f>_xlfn.IFNA(Table1[[#This Row],[annual_net_earnings_raw]], 0)</f>
        <v>14401</v>
      </c>
      <c r="I357" s="11"/>
    </row>
    <row r="358" spans="1:9" x14ac:dyDescent="0.25">
      <c r="A358" t="s">
        <v>37</v>
      </c>
      <c r="B358" t="s">
        <v>21</v>
      </c>
      <c r="C358">
        <v>66</v>
      </c>
      <c r="D358" s="3">
        <f>(100-Table1[[#This Row],[price_level_index]])/100</f>
        <v>0.34</v>
      </c>
      <c r="E358" s="2">
        <v>15428</v>
      </c>
      <c r="F358" s="9">
        <f>Table1[[#This Row],[annual_net_earnings_raw]]+(Table1[[#This Row],[annual_net_earnings_raw]]*Table1[[#This Row],[price_level_index_mean_deviance]])</f>
        <v>20673.52</v>
      </c>
      <c r="G358" s="11">
        <f>IF(Table1[[#This Row],[date]]&lt;B357,"",(Table1[[#This Row],[european_earnings_index_raw]]-F357)/F357)</f>
        <v>5.6336585243472112E-2</v>
      </c>
      <c r="H358" s="2">
        <f>_xlfn.IFNA(Table1[[#This Row],[annual_net_earnings_raw]], 0)</f>
        <v>15428</v>
      </c>
      <c r="I358" s="11"/>
    </row>
    <row r="359" spans="1:9" x14ac:dyDescent="0.25">
      <c r="A359" t="s">
        <v>38</v>
      </c>
      <c r="B359" t="s">
        <v>1</v>
      </c>
      <c r="C359">
        <v>120.8</v>
      </c>
      <c r="D359" s="3">
        <f>(100-Table1[[#This Row],[price_level_index]])/100</f>
        <v>-0.20799999999999996</v>
      </c>
      <c r="E359" s="2">
        <v>22962</v>
      </c>
      <c r="F359" s="9">
        <f>Table1[[#This Row],[annual_net_earnings_raw]]+(Table1[[#This Row],[annual_net_earnings_raw]]*Table1[[#This Row],[price_level_index_mean_deviance]])</f>
        <v>18185.904000000002</v>
      </c>
      <c r="G359" s="11" t="str">
        <f>IF(Table1[[#This Row],[date]]&lt;B358,"",(Table1[[#This Row],[european_earnings_index_raw]]-F358)/F358)</f>
        <v/>
      </c>
      <c r="H359" s="2">
        <f>_xlfn.IFNA(Table1[[#This Row],[annual_net_earnings_raw]], 0)</f>
        <v>22962</v>
      </c>
      <c r="I359" s="11"/>
    </row>
    <row r="360" spans="1:9" x14ac:dyDescent="0.25">
      <c r="A360" t="s">
        <v>38</v>
      </c>
      <c r="B360" t="s">
        <v>2</v>
      </c>
      <c r="C360">
        <v>122.9</v>
      </c>
      <c r="D360" s="3">
        <f>(100-Table1[[#This Row],[price_level_index]])/100</f>
        <v>-0.22900000000000006</v>
      </c>
      <c r="E360" s="2">
        <v>24246</v>
      </c>
      <c r="F360" s="9">
        <f>Table1[[#This Row],[annual_net_earnings_raw]]+(Table1[[#This Row],[annual_net_earnings_raw]]*Table1[[#This Row],[price_level_index_mean_deviance]])</f>
        <v>18693.665999999997</v>
      </c>
      <c r="G360" s="11">
        <f>IF(Table1[[#This Row],[date]]&lt;B359,"",(Table1[[#This Row],[european_earnings_index_raw]]-F359)/F359)</f>
        <v>2.79206356747509E-2</v>
      </c>
      <c r="H360" s="2">
        <f>_xlfn.IFNA(Table1[[#This Row],[annual_net_earnings_raw]], 0)</f>
        <v>24246</v>
      </c>
      <c r="I360" s="11"/>
    </row>
    <row r="361" spans="1:9" x14ac:dyDescent="0.25">
      <c r="A361" t="s">
        <v>38</v>
      </c>
      <c r="B361" t="s">
        <v>3</v>
      </c>
      <c r="C361">
        <v>122</v>
      </c>
      <c r="D361" s="3">
        <f>(100-Table1[[#This Row],[price_level_index]])/100</f>
        <v>-0.22</v>
      </c>
      <c r="E361" s="2">
        <v>26019</v>
      </c>
      <c r="F361" s="9">
        <f>Table1[[#This Row],[annual_net_earnings_raw]]+(Table1[[#This Row],[annual_net_earnings_raw]]*Table1[[#This Row],[price_level_index_mean_deviance]])</f>
        <v>20294.82</v>
      </c>
      <c r="G361" s="11">
        <f>IF(Table1[[#This Row],[date]]&lt;B360,"",(Table1[[#This Row],[european_earnings_index_raw]]-F360)/F360)</f>
        <v>8.5652220383096736E-2</v>
      </c>
      <c r="H361" s="2">
        <f>_xlfn.IFNA(Table1[[#This Row],[annual_net_earnings_raw]], 0)</f>
        <v>26019</v>
      </c>
      <c r="I361" s="11"/>
    </row>
    <row r="362" spans="1:9" x14ac:dyDescent="0.25">
      <c r="A362" t="s">
        <v>38</v>
      </c>
      <c r="B362" t="s">
        <v>4</v>
      </c>
      <c r="C362">
        <v>122.4</v>
      </c>
      <c r="D362" s="3">
        <f>(100-Table1[[#This Row],[price_level_index]])/100</f>
        <v>-0.22400000000000006</v>
      </c>
      <c r="E362" s="2">
        <v>26691</v>
      </c>
      <c r="F362" s="9">
        <f>Table1[[#This Row],[annual_net_earnings_raw]]+(Table1[[#This Row],[annual_net_earnings_raw]]*Table1[[#This Row],[price_level_index_mean_deviance]])</f>
        <v>20712.216</v>
      </c>
      <c r="G362" s="11">
        <f>IF(Table1[[#This Row],[date]]&lt;B361,"",(Table1[[#This Row],[european_earnings_index_raw]]-F361)/F361)</f>
        <v>2.0566627346288394E-2</v>
      </c>
      <c r="H362" s="2">
        <f>_xlfn.IFNA(Table1[[#This Row],[annual_net_earnings_raw]], 0)</f>
        <v>26691</v>
      </c>
      <c r="I362" s="11"/>
    </row>
    <row r="363" spans="1:9" x14ac:dyDescent="0.25">
      <c r="A363" t="s">
        <v>38</v>
      </c>
      <c r="B363" t="s">
        <v>5</v>
      </c>
      <c r="C363">
        <v>126.1</v>
      </c>
      <c r="D363" s="3">
        <f>(100-Table1[[#This Row],[price_level_index]])/100</f>
        <v>-0.26099999999999995</v>
      </c>
      <c r="E363" s="2">
        <v>26492</v>
      </c>
      <c r="F363" s="9">
        <f>Table1[[#This Row],[annual_net_earnings_raw]]+(Table1[[#This Row],[annual_net_earnings_raw]]*Table1[[#This Row],[price_level_index_mean_deviance]])</f>
        <v>19577.588000000003</v>
      </c>
      <c r="G363" s="11">
        <f>IF(Table1[[#This Row],[date]]&lt;B362,"",(Table1[[#This Row],[european_earnings_index_raw]]-F362)/F362)</f>
        <v>-5.4780618355853232E-2</v>
      </c>
      <c r="H363" s="2">
        <f>_xlfn.IFNA(Table1[[#This Row],[annual_net_earnings_raw]], 0)</f>
        <v>26492</v>
      </c>
      <c r="I363" s="11"/>
    </row>
    <row r="364" spans="1:9" x14ac:dyDescent="0.25">
      <c r="A364" t="s">
        <v>38</v>
      </c>
      <c r="B364" t="s">
        <v>6</v>
      </c>
      <c r="C364">
        <v>125.1</v>
      </c>
      <c r="D364" s="3">
        <f>(100-Table1[[#This Row],[price_level_index]])/100</f>
        <v>-0.25099999999999995</v>
      </c>
      <c r="E364" s="2">
        <v>27368</v>
      </c>
      <c r="F364" s="9">
        <f>Table1[[#This Row],[annual_net_earnings_raw]]+(Table1[[#This Row],[annual_net_earnings_raw]]*Table1[[#This Row],[price_level_index_mean_deviance]])</f>
        <v>20498.632000000001</v>
      </c>
      <c r="G364" s="11">
        <f>IF(Table1[[#This Row],[date]]&lt;B363,"",(Table1[[#This Row],[european_earnings_index_raw]]-F363)/F363)</f>
        <v>4.7045836289945311E-2</v>
      </c>
      <c r="H364" s="2">
        <f>_xlfn.IFNA(Table1[[#This Row],[annual_net_earnings_raw]], 0)</f>
        <v>27368</v>
      </c>
      <c r="I364" s="11"/>
    </row>
    <row r="365" spans="1:9" x14ac:dyDescent="0.25">
      <c r="A365" t="s">
        <v>38</v>
      </c>
      <c r="B365" t="s">
        <v>7</v>
      </c>
      <c r="C365">
        <v>123.8</v>
      </c>
      <c r="D365" s="3">
        <f>(100-Table1[[#This Row],[price_level_index]])/100</f>
        <v>-0.23799999999999996</v>
      </c>
      <c r="E365" s="2">
        <v>28323</v>
      </c>
      <c r="F365" s="9">
        <f>Table1[[#This Row],[annual_net_earnings_raw]]+(Table1[[#This Row],[annual_net_earnings_raw]]*Table1[[#This Row],[price_level_index_mean_deviance]])</f>
        <v>21582.126</v>
      </c>
      <c r="G365" s="11">
        <f>IF(Table1[[#This Row],[date]]&lt;B364,"",(Table1[[#This Row],[european_earnings_index_raw]]-F364)/F364)</f>
        <v>5.2856893084377472E-2</v>
      </c>
      <c r="H365" s="2">
        <f>_xlfn.IFNA(Table1[[#This Row],[annual_net_earnings_raw]], 0)</f>
        <v>28323</v>
      </c>
      <c r="I365" s="11"/>
    </row>
    <row r="366" spans="1:9" x14ac:dyDescent="0.25">
      <c r="A366" t="s">
        <v>38</v>
      </c>
      <c r="B366" t="s">
        <v>8</v>
      </c>
      <c r="C366">
        <v>127.1</v>
      </c>
      <c r="D366" s="3">
        <f>(100-Table1[[#This Row],[price_level_index]])/100</f>
        <v>-0.27099999999999996</v>
      </c>
      <c r="E366" s="2">
        <v>28293</v>
      </c>
      <c r="F366" s="9">
        <f>Table1[[#This Row],[annual_net_earnings_raw]]+(Table1[[#This Row],[annual_net_earnings_raw]]*Table1[[#This Row],[price_level_index_mean_deviance]])</f>
        <v>20625.597000000002</v>
      </c>
      <c r="G366" s="11">
        <f>IF(Table1[[#This Row],[date]]&lt;B365,"",(Table1[[#This Row],[european_earnings_index_raw]]-F365)/F365)</f>
        <v>-4.4320425151813059E-2</v>
      </c>
      <c r="H366" s="2">
        <f>_xlfn.IFNA(Table1[[#This Row],[annual_net_earnings_raw]], 0)</f>
        <v>28293</v>
      </c>
      <c r="I366" s="11"/>
    </row>
    <row r="367" spans="1:9" x14ac:dyDescent="0.25">
      <c r="A367" t="s">
        <v>38</v>
      </c>
      <c r="B367" t="s">
        <v>9</v>
      </c>
      <c r="C367">
        <v>127.1</v>
      </c>
      <c r="D367" s="3">
        <f>(100-Table1[[#This Row],[price_level_index]])/100</f>
        <v>-0.27099999999999996</v>
      </c>
      <c r="E367" s="2">
        <v>29490</v>
      </c>
      <c r="F367" s="9">
        <f>Table1[[#This Row],[annual_net_earnings_raw]]+(Table1[[#This Row],[annual_net_earnings_raw]]*Table1[[#This Row],[price_level_index_mean_deviance]])</f>
        <v>21498.21</v>
      </c>
      <c r="G367" s="11">
        <f>IF(Table1[[#This Row],[date]]&lt;B366,"",(Table1[[#This Row],[european_earnings_index_raw]]-F366)/F366)</f>
        <v>4.23072844873289E-2</v>
      </c>
      <c r="H367" s="2">
        <f>_xlfn.IFNA(Table1[[#This Row],[annual_net_earnings_raw]], 0)</f>
        <v>29490</v>
      </c>
      <c r="I367" s="11"/>
    </row>
    <row r="368" spans="1:9" x14ac:dyDescent="0.25">
      <c r="A368" t="s">
        <v>38</v>
      </c>
      <c r="B368" t="s">
        <v>10</v>
      </c>
      <c r="C368">
        <v>131.69999999999999</v>
      </c>
      <c r="D368" s="3">
        <f>(100-Table1[[#This Row],[price_level_index]])/100</f>
        <v>-0.31699999999999989</v>
      </c>
      <c r="E368" s="2">
        <v>29701</v>
      </c>
      <c r="F368" s="9">
        <f>Table1[[#This Row],[annual_net_earnings_raw]]+(Table1[[#This Row],[annual_net_earnings_raw]]*Table1[[#This Row],[price_level_index_mean_deviance]])</f>
        <v>20285.783000000003</v>
      </c>
      <c r="G368" s="11">
        <f>IF(Table1[[#This Row],[date]]&lt;B367,"",(Table1[[#This Row],[european_earnings_index_raw]]-F367)/F367)</f>
        <v>-5.6396648837275111E-2</v>
      </c>
      <c r="H368" s="2">
        <f>_xlfn.IFNA(Table1[[#This Row],[annual_net_earnings_raw]], 0)</f>
        <v>29701</v>
      </c>
      <c r="I368" s="11"/>
    </row>
    <row r="369" spans="1:9" x14ac:dyDescent="0.25">
      <c r="A369" t="s">
        <v>38</v>
      </c>
      <c r="B369" t="s">
        <v>11</v>
      </c>
      <c r="C369">
        <v>139.30000000000001</v>
      </c>
      <c r="D369" s="3">
        <f>(100-Table1[[#This Row],[price_level_index]])/100</f>
        <v>-0.39300000000000013</v>
      </c>
      <c r="E369" s="2">
        <v>29705</v>
      </c>
      <c r="F369" s="9">
        <f>Table1[[#This Row],[annual_net_earnings_raw]]+(Table1[[#This Row],[annual_net_earnings_raw]]*Table1[[#This Row],[price_level_index_mean_deviance]])</f>
        <v>18030.934999999998</v>
      </c>
      <c r="G369" s="11">
        <f>IF(Table1[[#This Row],[date]]&lt;B368,"",(Table1[[#This Row],[european_earnings_index_raw]]-F368)/F368)</f>
        <v>-0.11115410235828733</v>
      </c>
      <c r="H369" s="2">
        <f>_xlfn.IFNA(Table1[[#This Row],[annual_net_earnings_raw]], 0)</f>
        <v>29705</v>
      </c>
      <c r="I369" s="11"/>
    </row>
    <row r="370" spans="1:9" x14ac:dyDescent="0.25">
      <c r="A370" t="s">
        <v>38</v>
      </c>
      <c r="B370" t="s">
        <v>12</v>
      </c>
      <c r="C370">
        <v>138.69999999999999</v>
      </c>
      <c r="D370" s="3">
        <f>(100-Table1[[#This Row],[price_level_index]])/100</f>
        <v>-0.3869999999999999</v>
      </c>
      <c r="E370" s="2">
        <v>29635</v>
      </c>
      <c r="F370" s="9">
        <f>Table1[[#This Row],[annual_net_earnings_raw]]+(Table1[[#This Row],[annual_net_earnings_raw]]*Table1[[#This Row],[price_level_index_mean_deviance]])</f>
        <v>18166.255000000005</v>
      </c>
      <c r="G370" s="11">
        <f>IF(Table1[[#This Row],[date]]&lt;B369,"",(Table1[[#This Row],[european_earnings_index_raw]]-F369)/F369)</f>
        <v>7.5048798079526656E-3</v>
      </c>
      <c r="H370" s="2">
        <f>_xlfn.IFNA(Table1[[#This Row],[annual_net_earnings_raw]], 0)</f>
        <v>29635</v>
      </c>
      <c r="I370" s="11"/>
    </row>
    <row r="371" spans="1:9" x14ac:dyDescent="0.25">
      <c r="A371" t="s">
        <v>38</v>
      </c>
      <c r="B371" t="s">
        <v>13</v>
      </c>
      <c r="C371">
        <v>140.4</v>
      </c>
      <c r="D371" s="3">
        <f>(100-Table1[[#This Row],[price_level_index]])/100</f>
        <v>-0.40400000000000008</v>
      </c>
      <c r="E371" s="2">
        <v>30354</v>
      </c>
      <c r="F371" s="9">
        <f>Table1[[#This Row],[annual_net_earnings_raw]]+(Table1[[#This Row],[annual_net_earnings_raw]]*Table1[[#This Row],[price_level_index_mean_deviance]])</f>
        <v>18090.983999999997</v>
      </c>
      <c r="G371" s="11">
        <f>IF(Table1[[#This Row],[date]]&lt;B370,"",(Table1[[#This Row],[european_earnings_index_raw]]-F370)/F370)</f>
        <v>-4.1434516910616908E-3</v>
      </c>
      <c r="H371" s="2">
        <f>_xlfn.IFNA(Table1[[#This Row],[annual_net_earnings_raw]], 0)</f>
        <v>30354</v>
      </c>
      <c r="I371" s="11"/>
    </row>
    <row r="372" spans="1:9" x14ac:dyDescent="0.25">
      <c r="A372" t="s">
        <v>38</v>
      </c>
      <c r="B372" t="s">
        <v>14</v>
      </c>
      <c r="C372">
        <v>139.1</v>
      </c>
      <c r="D372" s="3">
        <f>(100-Table1[[#This Row],[price_level_index]])/100</f>
        <v>-0.39099999999999996</v>
      </c>
      <c r="E372" s="2">
        <v>30510</v>
      </c>
      <c r="F372" s="9">
        <f>Table1[[#This Row],[annual_net_earnings_raw]]+(Table1[[#This Row],[annual_net_earnings_raw]]*Table1[[#This Row],[price_level_index_mean_deviance]])</f>
        <v>18580.590000000004</v>
      </c>
      <c r="G372" s="11">
        <f>IF(Table1[[#This Row],[date]]&lt;B371,"",(Table1[[#This Row],[european_earnings_index_raw]]-F371)/F371)</f>
        <v>2.7063536179126969E-2</v>
      </c>
      <c r="H372" s="2">
        <f>_xlfn.IFNA(Table1[[#This Row],[annual_net_earnings_raw]], 0)</f>
        <v>30510</v>
      </c>
      <c r="I372" s="11"/>
    </row>
    <row r="373" spans="1:9" x14ac:dyDescent="0.25">
      <c r="A373" t="s">
        <v>38</v>
      </c>
      <c r="B373" t="s">
        <v>15</v>
      </c>
      <c r="C373">
        <v>141.4</v>
      </c>
      <c r="D373" s="3">
        <f>(100-Table1[[#This Row],[price_level_index]])/100</f>
        <v>-0.41400000000000003</v>
      </c>
      <c r="E373" s="2">
        <v>30537</v>
      </c>
      <c r="F373" s="9">
        <f>Table1[[#This Row],[annual_net_earnings_raw]]+(Table1[[#This Row],[annual_net_earnings_raw]]*Table1[[#This Row],[price_level_index_mean_deviance]])</f>
        <v>17894.682000000001</v>
      </c>
      <c r="G373" s="11">
        <f>IF(Table1[[#This Row],[date]]&lt;B372,"",(Table1[[#This Row],[european_earnings_index_raw]]-F372)/F372)</f>
        <v>-3.6915297092288399E-2</v>
      </c>
      <c r="H373" s="2">
        <f>_xlfn.IFNA(Table1[[#This Row],[annual_net_earnings_raw]], 0)</f>
        <v>30537</v>
      </c>
      <c r="I373" s="11"/>
    </row>
    <row r="374" spans="1:9" x14ac:dyDescent="0.25">
      <c r="A374" t="s">
        <v>38</v>
      </c>
      <c r="B374" t="s">
        <v>16</v>
      </c>
      <c r="C374">
        <v>140.6</v>
      </c>
      <c r="D374" s="3">
        <f>(100-Table1[[#This Row],[price_level_index]])/100</f>
        <v>-0.40599999999999992</v>
      </c>
      <c r="E374" s="2">
        <v>30764</v>
      </c>
      <c r="F374" s="9">
        <f>Table1[[#This Row],[annual_net_earnings_raw]]+(Table1[[#This Row],[annual_net_earnings_raw]]*Table1[[#This Row],[price_level_index_mean_deviance]])</f>
        <v>18273.816000000003</v>
      </c>
      <c r="G374" s="11">
        <f>IF(Table1[[#This Row],[date]]&lt;B373,"",(Table1[[#This Row],[european_earnings_index_raw]]-F373)/F373)</f>
        <v>2.1186964931816158E-2</v>
      </c>
      <c r="H374" s="2">
        <f>_xlfn.IFNA(Table1[[#This Row],[annual_net_earnings_raw]], 0)</f>
        <v>30764</v>
      </c>
      <c r="I374" s="11"/>
    </row>
    <row r="375" spans="1:9" x14ac:dyDescent="0.25">
      <c r="A375" t="s">
        <v>38</v>
      </c>
      <c r="B375" t="s">
        <v>17</v>
      </c>
      <c r="C375">
        <v>141.9</v>
      </c>
      <c r="D375" s="3">
        <f>(100-Table1[[#This Row],[price_level_index]])/100</f>
        <v>-0.41900000000000004</v>
      </c>
      <c r="E375" s="2">
        <v>30441</v>
      </c>
      <c r="F375" s="9">
        <f>Table1[[#This Row],[annual_net_earnings_raw]]+(Table1[[#This Row],[annual_net_earnings_raw]]*Table1[[#This Row],[price_level_index_mean_deviance]])</f>
        <v>17686.220999999998</v>
      </c>
      <c r="G375" s="11">
        <f>IF(Table1[[#This Row],[date]]&lt;B374,"",(Table1[[#This Row],[european_earnings_index_raw]]-F374)/F374)</f>
        <v>-3.2155024434962286E-2</v>
      </c>
      <c r="H375" s="2">
        <f>_xlfn.IFNA(Table1[[#This Row],[annual_net_earnings_raw]], 0)</f>
        <v>30441</v>
      </c>
      <c r="I375" s="11"/>
    </row>
    <row r="376" spans="1:9" x14ac:dyDescent="0.25">
      <c r="A376" t="s">
        <v>38</v>
      </c>
      <c r="B376" t="s">
        <v>18</v>
      </c>
      <c r="C376">
        <v>142.6</v>
      </c>
      <c r="D376" s="3">
        <f>(100-Table1[[#This Row],[price_level_index]])/100</f>
        <v>-0.42599999999999993</v>
      </c>
      <c r="E376" s="2">
        <v>32092</v>
      </c>
      <c r="F376" s="9">
        <f>Table1[[#This Row],[annual_net_earnings_raw]]+(Table1[[#This Row],[annual_net_earnings_raw]]*Table1[[#This Row],[price_level_index_mean_deviance]])</f>
        <v>18420.808000000005</v>
      </c>
      <c r="G376" s="11">
        <f>IF(Table1[[#This Row],[date]]&lt;B375,"",(Table1[[#This Row],[european_earnings_index_raw]]-F375)/F375)</f>
        <v>4.1534423888517899E-2</v>
      </c>
      <c r="H376" s="2">
        <f>_xlfn.IFNA(Table1[[#This Row],[annual_net_earnings_raw]], 0)</f>
        <v>32092</v>
      </c>
      <c r="I376" s="11"/>
    </row>
    <row r="377" spans="1:9" x14ac:dyDescent="0.25">
      <c r="A377" t="s">
        <v>38</v>
      </c>
      <c r="B377" t="s">
        <v>19</v>
      </c>
      <c r="C377">
        <v>141.5</v>
      </c>
      <c r="D377" s="3">
        <f>(100-Table1[[#This Row],[price_level_index]])/100</f>
        <v>-0.41499999999999998</v>
      </c>
      <c r="E377" s="2">
        <v>33133</v>
      </c>
      <c r="F377" s="9">
        <f>Table1[[#This Row],[annual_net_earnings_raw]]+(Table1[[#This Row],[annual_net_earnings_raw]]*Table1[[#This Row],[price_level_index_mean_deviance]])</f>
        <v>19382.805</v>
      </c>
      <c r="G377" s="11">
        <f>IF(Table1[[#This Row],[date]]&lt;B376,"",(Table1[[#This Row],[european_earnings_index_raw]]-F376)/F376)</f>
        <v>5.2223387812304192E-2</v>
      </c>
      <c r="H377" s="2">
        <f>_xlfn.IFNA(Table1[[#This Row],[annual_net_earnings_raw]], 0)</f>
        <v>33133</v>
      </c>
      <c r="I377" s="11"/>
    </row>
    <row r="378" spans="1:9" x14ac:dyDescent="0.25">
      <c r="A378" t="s">
        <v>38</v>
      </c>
      <c r="B378" t="s">
        <v>20</v>
      </c>
      <c r="C378">
        <v>147.1</v>
      </c>
      <c r="D378" s="3">
        <f>(100-Table1[[#This Row],[price_level_index]])/100</f>
        <v>-0.47099999999999992</v>
      </c>
      <c r="E378" s="2">
        <v>32296</v>
      </c>
      <c r="F378" s="9">
        <f>Table1[[#This Row],[annual_net_earnings_raw]]+(Table1[[#This Row],[annual_net_earnings_raw]]*Table1[[#This Row],[price_level_index_mean_deviance]])</f>
        <v>17084.584000000003</v>
      </c>
      <c r="G378" s="11">
        <f>IF(Table1[[#This Row],[date]]&lt;B377,"",(Table1[[#This Row],[european_earnings_index_raw]]-F377)/F377)</f>
        <v>-0.11857009344106788</v>
      </c>
      <c r="H378" s="2">
        <f>_xlfn.IFNA(Table1[[#This Row],[annual_net_earnings_raw]], 0)</f>
        <v>32296</v>
      </c>
      <c r="I378" s="11"/>
    </row>
    <row r="379" spans="1:9" x14ac:dyDescent="0.25">
      <c r="A379" t="s">
        <v>38</v>
      </c>
      <c r="B379" t="s">
        <v>21</v>
      </c>
      <c r="C379">
        <v>153.9</v>
      </c>
      <c r="D379" s="3">
        <f>(100-Table1[[#This Row],[price_level_index]])/100</f>
        <v>-0.53900000000000003</v>
      </c>
      <c r="E379" s="2">
        <v>32363</v>
      </c>
      <c r="F379" s="9">
        <f>Table1[[#This Row],[annual_net_earnings_raw]]+(Table1[[#This Row],[annual_net_earnings_raw]]*Table1[[#This Row],[price_level_index_mean_deviance]])</f>
        <v>14919.342999999997</v>
      </c>
      <c r="G379" s="11">
        <f>IF(Table1[[#This Row],[date]]&lt;B378,"",(Table1[[#This Row],[european_earnings_index_raw]]-F378)/F378)</f>
        <v>-0.12673653628323669</v>
      </c>
      <c r="H379" s="2">
        <f>_xlfn.IFNA(Table1[[#This Row],[annual_net_earnings_raw]], 0)</f>
        <v>32363</v>
      </c>
      <c r="I379" s="11"/>
    </row>
    <row r="380" spans="1:9" x14ac:dyDescent="0.25">
      <c r="A380" t="s">
        <v>39</v>
      </c>
      <c r="B380" t="s">
        <v>1</v>
      </c>
      <c r="C380">
        <v>77.400000000000006</v>
      </c>
      <c r="D380" s="3">
        <f>(100-Table1[[#This Row],[price_level_index]])/100</f>
        <v>0.22599999999999995</v>
      </c>
      <c r="E380" s="2">
        <v>0</v>
      </c>
      <c r="F380" s="9">
        <f>Table1[[#This Row],[annual_net_earnings_raw]]+(Table1[[#This Row],[annual_net_earnings_raw]]*Table1[[#This Row],[price_level_index_mean_deviance]])</f>
        <v>0</v>
      </c>
      <c r="G380" s="11" t="str">
        <f>IF(Table1[[#This Row],[date]]&lt;B379,"",(Table1[[#This Row],[european_earnings_index_raw]]-F379)/F379)</f>
        <v/>
      </c>
      <c r="H380" s="2">
        <f>_xlfn.IFNA(Table1[[#This Row],[annual_net_earnings_raw]], 0)</f>
        <v>0</v>
      </c>
      <c r="I380" s="11"/>
    </row>
    <row r="381" spans="1:9" x14ac:dyDescent="0.25">
      <c r="A381" t="s">
        <v>39</v>
      </c>
      <c r="B381" t="s">
        <v>2</v>
      </c>
      <c r="C381">
        <v>78.7</v>
      </c>
      <c r="D381" s="3">
        <f>(100-Table1[[#This Row],[price_level_index]])/100</f>
        <v>0.21299999999999997</v>
      </c>
      <c r="E381" s="2">
        <v>0</v>
      </c>
      <c r="F381" s="9">
        <f>Table1[[#This Row],[annual_net_earnings_raw]]+(Table1[[#This Row],[annual_net_earnings_raw]]*Table1[[#This Row],[price_level_index_mean_deviance]])</f>
        <v>0</v>
      </c>
      <c r="G381" s="11" t="e">
        <f>IF(Table1[[#This Row],[date]]&lt;B380,"",(Table1[[#This Row],[european_earnings_index_raw]]-F380)/F380)</f>
        <v>#DIV/0!</v>
      </c>
      <c r="H381" s="2">
        <f>_xlfn.IFNA(Table1[[#This Row],[annual_net_earnings_raw]], 0)</f>
        <v>0</v>
      </c>
      <c r="I381" s="11"/>
    </row>
    <row r="382" spans="1:9" x14ac:dyDescent="0.25">
      <c r="A382" t="s">
        <v>39</v>
      </c>
      <c r="B382" t="s">
        <v>3</v>
      </c>
      <c r="C382">
        <v>78.099999999999994</v>
      </c>
      <c r="D382" s="3">
        <f>(100-Table1[[#This Row],[price_level_index]])/100</f>
        <v>0.21900000000000006</v>
      </c>
      <c r="E382" s="2">
        <v>0</v>
      </c>
      <c r="F382" s="9">
        <f>Table1[[#This Row],[annual_net_earnings_raw]]+(Table1[[#This Row],[annual_net_earnings_raw]]*Table1[[#This Row],[price_level_index_mean_deviance]])</f>
        <v>0</v>
      </c>
      <c r="G382" s="11" t="e">
        <f>IF(Table1[[#This Row],[date]]&lt;B381,"",(Table1[[#This Row],[european_earnings_index_raw]]-F381)/F381)</f>
        <v>#DIV/0!</v>
      </c>
      <c r="H382" s="2">
        <f>_xlfn.IFNA(Table1[[#This Row],[annual_net_earnings_raw]], 0)</f>
        <v>0</v>
      </c>
      <c r="I382" s="11"/>
    </row>
    <row r="383" spans="1:9" x14ac:dyDescent="0.25">
      <c r="A383" t="s">
        <v>39</v>
      </c>
      <c r="B383" t="s">
        <v>4</v>
      </c>
      <c r="C383">
        <v>72.8</v>
      </c>
      <c r="D383" s="3">
        <f>(100-Table1[[#This Row],[price_level_index]])/100</f>
        <v>0.27200000000000002</v>
      </c>
      <c r="E383" s="2">
        <v>0</v>
      </c>
      <c r="F383" s="9">
        <f>Table1[[#This Row],[annual_net_earnings_raw]]+(Table1[[#This Row],[annual_net_earnings_raw]]*Table1[[#This Row],[price_level_index_mean_deviance]])</f>
        <v>0</v>
      </c>
      <c r="G383" s="11" t="e">
        <f>IF(Table1[[#This Row],[date]]&lt;B382,"",(Table1[[#This Row],[european_earnings_index_raw]]-F382)/F382)</f>
        <v>#DIV/0!</v>
      </c>
      <c r="H383" s="2">
        <f>_xlfn.IFNA(Table1[[#This Row],[annual_net_earnings_raw]], 0)</f>
        <v>0</v>
      </c>
      <c r="I383" s="11"/>
    </row>
    <row r="384" spans="1:9" x14ac:dyDescent="0.25">
      <c r="A384" t="s">
        <v>39</v>
      </c>
      <c r="B384" t="s">
        <v>5</v>
      </c>
      <c r="C384">
        <v>72.099999999999994</v>
      </c>
      <c r="D384" s="3">
        <f>(100-Table1[[#This Row],[price_level_index]])/100</f>
        <v>0.27900000000000008</v>
      </c>
      <c r="E384" s="2">
        <v>0</v>
      </c>
      <c r="F384" s="9">
        <f>Table1[[#This Row],[annual_net_earnings_raw]]+(Table1[[#This Row],[annual_net_earnings_raw]]*Table1[[#This Row],[price_level_index_mean_deviance]])</f>
        <v>0</v>
      </c>
      <c r="G384" s="11" t="e">
        <f>IF(Table1[[#This Row],[date]]&lt;B383,"",(Table1[[#This Row],[european_earnings_index_raw]]-F383)/F383)</f>
        <v>#DIV/0!</v>
      </c>
      <c r="H384" s="2">
        <f>_xlfn.IFNA(Table1[[#This Row],[annual_net_earnings_raw]], 0)</f>
        <v>0</v>
      </c>
      <c r="I384" s="11"/>
    </row>
    <row r="385" spans="1:9" x14ac:dyDescent="0.25">
      <c r="A385" t="s">
        <v>39</v>
      </c>
      <c r="B385" t="s">
        <v>6</v>
      </c>
      <c r="C385">
        <v>71.900000000000006</v>
      </c>
      <c r="D385" s="3">
        <f>(100-Table1[[#This Row],[price_level_index]])/100</f>
        <v>0.28099999999999992</v>
      </c>
      <c r="E385" s="2">
        <v>15380</v>
      </c>
      <c r="F385" s="9">
        <f>Table1[[#This Row],[annual_net_earnings_raw]]+(Table1[[#This Row],[annual_net_earnings_raw]]*Table1[[#This Row],[price_level_index_mean_deviance]])</f>
        <v>19701.78</v>
      </c>
      <c r="G385" s="11" t="e">
        <f>IF(Table1[[#This Row],[date]]&lt;B384,"",(Table1[[#This Row],[european_earnings_index_raw]]-F384)/F384)</f>
        <v>#DIV/0!</v>
      </c>
      <c r="H385" s="2">
        <f>_xlfn.IFNA(Table1[[#This Row],[annual_net_earnings_raw]], 0)</f>
        <v>15380</v>
      </c>
      <c r="I385" s="11"/>
    </row>
    <row r="386" spans="1:9" x14ac:dyDescent="0.25">
      <c r="A386" t="s">
        <v>39</v>
      </c>
      <c r="B386" t="s">
        <v>7</v>
      </c>
      <c r="C386">
        <v>74.599999999999994</v>
      </c>
      <c r="D386" s="3">
        <f>(100-Table1[[#This Row],[price_level_index]])/100</f>
        <v>0.25400000000000006</v>
      </c>
      <c r="E386" s="2">
        <v>15210</v>
      </c>
      <c r="F386" s="9">
        <f>Table1[[#This Row],[annual_net_earnings_raw]]+(Table1[[#This Row],[annual_net_earnings_raw]]*Table1[[#This Row],[price_level_index_mean_deviance]])</f>
        <v>19073.34</v>
      </c>
      <c r="G386" s="11">
        <f>IF(Table1[[#This Row],[date]]&lt;B385,"",(Table1[[#This Row],[european_earnings_index_raw]]-F385)/F385)</f>
        <v>-3.189762549373705E-2</v>
      </c>
      <c r="H386" s="2">
        <f>_xlfn.IFNA(Table1[[#This Row],[annual_net_earnings_raw]], 0)</f>
        <v>15210</v>
      </c>
      <c r="I386" s="11"/>
    </row>
    <row r="387" spans="1:9" x14ac:dyDescent="0.25">
      <c r="A387" t="s">
        <v>39</v>
      </c>
      <c r="B387" t="s">
        <v>8</v>
      </c>
      <c r="C387">
        <v>73.5</v>
      </c>
      <c r="D387" s="3">
        <f>(100-Table1[[#This Row],[price_level_index]])/100</f>
        <v>0.26500000000000001</v>
      </c>
      <c r="E387" s="2">
        <v>15989</v>
      </c>
      <c r="F387" s="9">
        <f>Table1[[#This Row],[annual_net_earnings_raw]]+(Table1[[#This Row],[annual_net_earnings_raw]]*Table1[[#This Row],[price_level_index_mean_deviance]])</f>
        <v>20226.084999999999</v>
      </c>
      <c r="G387" s="11">
        <f>IF(Table1[[#This Row],[date]]&lt;B386,"",(Table1[[#This Row],[european_earnings_index_raw]]-F386)/F386)</f>
        <v>6.0437500720901476E-2</v>
      </c>
      <c r="H387" s="2">
        <f>_xlfn.IFNA(Table1[[#This Row],[annual_net_earnings_raw]], 0)</f>
        <v>15989</v>
      </c>
      <c r="I387" s="11"/>
    </row>
    <row r="388" spans="1:9" x14ac:dyDescent="0.25">
      <c r="A388" t="s">
        <v>39</v>
      </c>
      <c r="B388" t="s">
        <v>9</v>
      </c>
      <c r="C388">
        <v>75.8</v>
      </c>
      <c r="D388" s="3">
        <f>(100-Table1[[#This Row],[price_level_index]])/100</f>
        <v>0.24200000000000002</v>
      </c>
      <c r="E388" s="2">
        <v>17069</v>
      </c>
      <c r="F388" s="9">
        <f>Table1[[#This Row],[annual_net_earnings_raw]]+(Table1[[#This Row],[annual_net_earnings_raw]]*Table1[[#This Row],[price_level_index_mean_deviance]])</f>
        <v>21199.698</v>
      </c>
      <c r="G388" s="11">
        <f>IF(Table1[[#This Row],[date]]&lt;B387,"",(Table1[[#This Row],[european_earnings_index_raw]]-F387)/F387)</f>
        <v>4.8136502936678115E-2</v>
      </c>
      <c r="H388" s="2">
        <f>_xlfn.IFNA(Table1[[#This Row],[annual_net_earnings_raw]], 0)</f>
        <v>17069</v>
      </c>
      <c r="I388" s="11"/>
    </row>
    <row r="389" spans="1:9" x14ac:dyDescent="0.25">
      <c r="A389" t="s">
        <v>39</v>
      </c>
      <c r="B389" t="s">
        <v>10</v>
      </c>
      <c r="C389">
        <v>76.8</v>
      </c>
      <c r="D389" s="3">
        <f>(100-Table1[[#This Row],[price_level_index]])/100</f>
        <v>0.23200000000000004</v>
      </c>
      <c r="E389" s="2">
        <v>17207</v>
      </c>
      <c r="F389" s="9">
        <f>Table1[[#This Row],[annual_net_earnings_raw]]+(Table1[[#This Row],[annual_net_earnings_raw]]*Table1[[#This Row],[price_level_index_mean_deviance]])</f>
        <v>21199.024000000001</v>
      </c>
      <c r="G389" s="11">
        <f>IF(Table1[[#This Row],[date]]&lt;B388,"",(Table1[[#This Row],[european_earnings_index_raw]]-F388)/F388)</f>
        <v>-3.1792905729084848E-5</v>
      </c>
      <c r="H389" s="2">
        <f>_xlfn.IFNA(Table1[[#This Row],[annual_net_earnings_raw]], 0)</f>
        <v>17207</v>
      </c>
      <c r="I389" s="11"/>
    </row>
    <row r="390" spans="1:9" x14ac:dyDescent="0.25">
      <c r="A390" t="s">
        <v>39</v>
      </c>
      <c r="B390" t="s">
        <v>11</v>
      </c>
      <c r="C390">
        <v>78.099999999999994</v>
      </c>
      <c r="D390" s="3">
        <f>(100-Table1[[#This Row],[price_level_index]])/100</f>
        <v>0.21900000000000006</v>
      </c>
      <c r="E390" s="2">
        <v>18197</v>
      </c>
      <c r="F390" s="9">
        <f>Table1[[#This Row],[annual_net_earnings_raw]]+(Table1[[#This Row],[annual_net_earnings_raw]]*Table1[[#This Row],[price_level_index_mean_deviance]])</f>
        <v>22182.143</v>
      </c>
      <c r="G390" s="11">
        <f>IF(Table1[[#This Row],[date]]&lt;B389,"",(Table1[[#This Row],[european_earnings_index_raw]]-F389)/F389)</f>
        <v>4.6375672766821655E-2</v>
      </c>
      <c r="H390" s="2">
        <f>_xlfn.IFNA(Table1[[#This Row],[annual_net_earnings_raw]], 0)</f>
        <v>18197</v>
      </c>
      <c r="I390" s="11"/>
    </row>
    <row r="391" spans="1:9" x14ac:dyDescent="0.25">
      <c r="A391" t="s">
        <v>39</v>
      </c>
      <c r="B391" t="s">
        <v>12</v>
      </c>
      <c r="C391">
        <v>79.5</v>
      </c>
      <c r="D391" s="3">
        <f>(100-Table1[[#This Row],[price_level_index]])/100</f>
        <v>0.20499999999999999</v>
      </c>
      <c r="E391" s="2">
        <v>19384</v>
      </c>
      <c r="F391" s="9">
        <f>Table1[[#This Row],[annual_net_earnings_raw]]+(Table1[[#This Row],[annual_net_earnings_raw]]*Table1[[#This Row],[price_level_index_mean_deviance]])</f>
        <v>23357.72</v>
      </c>
      <c r="G391" s="11">
        <f>IF(Table1[[#This Row],[date]]&lt;B390,"",(Table1[[#This Row],[european_earnings_index_raw]]-F390)/F390)</f>
        <v>5.2996547718586126E-2</v>
      </c>
      <c r="H391" s="2">
        <f>_xlfn.IFNA(Table1[[#This Row],[annual_net_earnings_raw]], 0)</f>
        <v>19384</v>
      </c>
      <c r="I391" s="11"/>
    </row>
    <row r="392" spans="1:9" x14ac:dyDescent="0.25">
      <c r="A392" t="s">
        <v>39</v>
      </c>
      <c r="B392" t="s">
        <v>13</v>
      </c>
      <c r="C392">
        <v>80.599999999999994</v>
      </c>
      <c r="D392" s="3">
        <f>(100-Table1[[#This Row],[price_level_index]])/100</f>
        <v>0.19400000000000006</v>
      </c>
      <c r="E392" s="2">
        <v>19653</v>
      </c>
      <c r="F392" s="9">
        <f>Table1[[#This Row],[annual_net_earnings_raw]]+(Table1[[#This Row],[annual_net_earnings_raw]]*Table1[[#This Row],[price_level_index_mean_deviance]])</f>
        <v>23465.682000000001</v>
      </c>
      <c r="G392" s="11">
        <f>IF(Table1[[#This Row],[date]]&lt;B391,"",(Table1[[#This Row],[european_earnings_index_raw]]-F391)/F391)</f>
        <v>4.6221120897073659E-3</v>
      </c>
      <c r="H392" s="2">
        <f>_xlfn.IFNA(Table1[[#This Row],[annual_net_earnings_raw]], 0)</f>
        <v>19653</v>
      </c>
      <c r="I392" s="11"/>
    </row>
    <row r="393" spans="1:9" x14ac:dyDescent="0.25">
      <c r="A393" t="s">
        <v>39</v>
      </c>
      <c r="B393" t="s">
        <v>14</v>
      </c>
      <c r="C393">
        <v>83.2</v>
      </c>
      <c r="D393" s="3">
        <f>(100-Table1[[#This Row],[price_level_index]])/100</f>
        <v>0.16799999999999998</v>
      </c>
      <c r="E393" s="2">
        <v>19475</v>
      </c>
      <c r="F393" s="9">
        <f>Table1[[#This Row],[annual_net_earnings_raw]]+(Table1[[#This Row],[annual_net_earnings_raw]]*Table1[[#This Row],[price_level_index_mean_deviance]])</f>
        <v>22746.799999999999</v>
      </c>
      <c r="G393" s="11">
        <f>IF(Table1[[#This Row],[date]]&lt;B392,"",(Table1[[#This Row],[european_earnings_index_raw]]-F392)/F392)</f>
        <v>-3.0635461607295342E-2</v>
      </c>
      <c r="H393" s="2">
        <f>_xlfn.IFNA(Table1[[#This Row],[annual_net_earnings_raw]], 0)</f>
        <v>19475</v>
      </c>
      <c r="I393" s="11"/>
    </row>
    <row r="394" spans="1:9" x14ac:dyDescent="0.25">
      <c r="A394" t="s">
        <v>39</v>
      </c>
      <c r="B394" t="s">
        <v>15</v>
      </c>
      <c r="C394">
        <v>83.9</v>
      </c>
      <c r="D394" s="3">
        <f>(100-Table1[[#This Row],[price_level_index]])/100</f>
        <v>0.16099999999999995</v>
      </c>
      <c r="E394" s="2">
        <v>19065</v>
      </c>
      <c r="F394" s="9">
        <f>Table1[[#This Row],[annual_net_earnings_raw]]+(Table1[[#This Row],[annual_net_earnings_raw]]*Table1[[#This Row],[price_level_index_mean_deviance]])</f>
        <v>22134.465</v>
      </c>
      <c r="G394" s="11">
        <f>IF(Table1[[#This Row],[date]]&lt;B393,"",(Table1[[#This Row],[european_earnings_index_raw]]-F393)/F393)</f>
        <v>-2.6919610670511858E-2</v>
      </c>
      <c r="H394" s="2">
        <f>_xlfn.IFNA(Table1[[#This Row],[annual_net_earnings_raw]], 0)</f>
        <v>19065</v>
      </c>
      <c r="I394" s="11"/>
    </row>
    <row r="395" spans="1:9" x14ac:dyDescent="0.25">
      <c r="A395" t="s">
        <v>39</v>
      </c>
      <c r="B395" t="s">
        <v>16</v>
      </c>
      <c r="C395">
        <v>84.9</v>
      </c>
      <c r="D395" s="3">
        <f>(100-Table1[[#This Row],[price_level_index]])/100</f>
        <v>0.15099999999999994</v>
      </c>
      <c r="E395" s="2">
        <v>19462</v>
      </c>
      <c r="F395" s="9">
        <f>Table1[[#This Row],[annual_net_earnings_raw]]+(Table1[[#This Row],[annual_net_earnings_raw]]*Table1[[#This Row],[price_level_index_mean_deviance]])</f>
        <v>22400.761999999999</v>
      </c>
      <c r="G395" s="11">
        <f>IF(Table1[[#This Row],[date]]&lt;B394,"",(Table1[[#This Row],[european_earnings_index_raw]]-F394)/F394)</f>
        <v>1.2030875830972136E-2</v>
      </c>
      <c r="H395" s="2">
        <f>_xlfn.IFNA(Table1[[#This Row],[annual_net_earnings_raw]], 0)</f>
        <v>19462</v>
      </c>
      <c r="I395" s="11"/>
    </row>
    <row r="396" spans="1:9" x14ac:dyDescent="0.25">
      <c r="A396" t="s">
        <v>39</v>
      </c>
      <c r="B396" t="s">
        <v>17</v>
      </c>
      <c r="C396">
        <v>85</v>
      </c>
      <c r="D396" s="3">
        <f>(100-Table1[[#This Row],[price_level_index]])/100</f>
        <v>0.15</v>
      </c>
      <c r="E396" s="2">
        <v>20013</v>
      </c>
      <c r="F396" s="9">
        <f>Table1[[#This Row],[annual_net_earnings_raw]]+(Table1[[#This Row],[annual_net_earnings_raw]]*Table1[[#This Row],[price_level_index_mean_deviance]])</f>
        <v>23014.95</v>
      </c>
      <c r="G396" s="11">
        <f>IF(Table1[[#This Row],[date]]&lt;B395,"",(Table1[[#This Row],[european_earnings_index_raw]]-F395)/F395)</f>
        <v>2.7418174435316172E-2</v>
      </c>
      <c r="H396" s="2">
        <f>_xlfn.IFNA(Table1[[#This Row],[annual_net_earnings_raw]], 0)</f>
        <v>20013</v>
      </c>
      <c r="I396" s="11"/>
    </row>
    <row r="397" spans="1:9" x14ac:dyDescent="0.25">
      <c r="A397" t="s">
        <v>39</v>
      </c>
      <c r="B397" t="s">
        <v>18</v>
      </c>
      <c r="C397">
        <v>86.6</v>
      </c>
      <c r="D397" s="3">
        <f>(100-Table1[[#This Row],[price_level_index]])/100</f>
        <v>0.13400000000000006</v>
      </c>
      <c r="E397" s="2">
        <v>20048</v>
      </c>
      <c r="F397" s="9">
        <f>Table1[[#This Row],[annual_net_earnings_raw]]+(Table1[[#This Row],[annual_net_earnings_raw]]*Table1[[#This Row],[price_level_index_mean_deviance]])</f>
        <v>22734.432000000001</v>
      </c>
      <c r="G397" s="11">
        <f>IF(Table1[[#This Row],[date]]&lt;B396,"",(Table1[[#This Row],[european_earnings_index_raw]]-F396)/F396)</f>
        <v>-1.2188512249646427E-2</v>
      </c>
      <c r="H397" s="2">
        <f>_xlfn.IFNA(Table1[[#This Row],[annual_net_earnings_raw]], 0)</f>
        <v>20048</v>
      </c>
      <c r="I397" s="11"/>
    </row>
    <row r="398" spans="1:9" x14ac:dyDescent="0.25">
      <c r="A398" t="s">
        <v>39</v>
      </c>
      <c r="B398" t="s">
        <v>19</v>
      </c>
      <c r="C398">
        <v>87</v>
      </c>
      <c r="D398" s="3">
        <f>(100-Table1[[#This Row],[price_level_index]])/100</f>
        <v>0.13</v>
      </c>
      <c r="E398" s="2">
        <v>20668</v>
      </c>
      <c r="F398" s="9">
        <f>Table1[[#This Row],[annual_net_earnings_raw]]+(Table1[[#This Row],[annual_net_earnings_raw]]*Table1[[#This Row],[price_level_index_mean_deviance]])</f>
        <v>23354.84</v>
      </c>
      <c r="G398" s="11">
        <f>IF(Table1[[#This Row],[date]]&lt;B397,"",(Table1[[#This Row],[european_earnings_index_raw]]-F397)/F397)</f>
        <v>2.7289355634660211E-2</v>
      </c>
      <c r="H398" s="2">
        <f>_xlfn.IFNA(Table1[[#This Row],[annual_net_earnings_raw]], 0)</f>
        <v>20668</v>
      </c>
      <c r="I398" s="11"/>
    </row>
    <row r="399" spans="1:9" x14ac:dyDescent="0.25">
      <c r="A399" t="s">
        <v>39</v>
      </c>
      <c r="B399" t="s">
        <v>20</v>
      </c>
      <c r="C399">
        <v>87.1</v>
      </c>
      <c r="D399" s="3">
        <f>(100-Table1[[#This Row],[price_level_index]])/100</f>
        <v>0.12900000000000006</v>
      </c>
      <c r="E399" s="2">
        <v>22091</v>
      </c>
      <c r="F399" s="9">
        <f>Table1[[#This Row],[annual_net_earnings_raw]]+(Table1[[#This Row],[annual_net_earnings_raw]]*Table1[[#This Row],[price_level_index_mean_deviance]])</f>
        <v>24940.739000000001</v>
      </c>
      <c r="G399" s="11">
        <f>IF(Table1[[#This Row],[date]]&lt;B398,"",(Table1[[#This Row],[european_earnings_index_raw]]-F398)/F398)</f>
        <v>6.7904511441739757E-2</v>
      </c>
      <c r="H399" s="2">
        <f>_xlfn.IFNA(Table1[[#This Row],[annual_net_earnings_raw]], 0)</f>
        <v>22091</v>
      </c>
      <c r="I399" s="11"/>
    </row>
    <row r="400" spans="1:9" x14ac:dyDescent="0.25">
      <c r="A400" t="s">
        <v>39</v>
      </c>
      <c r="B400" t="s">
        <v>21</v>
      </c>
      <c r="C400">
        <v>89.9</v>
      </c>
      <c r="D400" s="3">
        <f>(100-Table1[[#This Row],[price_level_index]])/100</f>
        <v>0.10099999999999994</v>
      </c>
      <c r="E400" s="2">
        <v>22189</v>
      </c>
      <c r="F400" s="9">
        <f>Table1[[#This Row],[annual_net_earnings_raw]]+(Table1[[#This Row],[annual_net_earnings_raw]]*Table1[[#This Row],[price_level_index_mean_deviance]])</f>
        <v>24430.089</v>
      </c>
      <c r="G400" s="11">
        <f>IF(Table1[[#This Row],[date]]&lt;B399,"",(Table1[[#This Row],[european_earnings_index_raw]]-F399)/F399)</f>
        <v>-2.0474533653553787E-2</v>
      </c>
      <c r="H400" s="2">
        <f>_xlfn.IFNA(Table1[[#This Row],[annual_net_earnings_raw]], 0)</f>
        <v>22189</v>
      </c>
      <c r="I400" s="11"/>
    </row>
    <row r="401" spans="1:9" x14ac:dyDescent="0.25">
      <c r="A401" t="s">
        <v>40</v>
      </c>
      <c r="B401" t="s">
        <v>1</v>
      </c>
      <c r="C401">
        <v>104.6</v>
      </c>
      <c r="D401" s="3">
        <f>(100-Table1[[#This Row],[price_level_index]])/100</f>
        <v>-4.5999999999999944E-2</v>
      </c>
      <c r="E401" s="2">
        <v>20178</v>
      </c>
      <c r="F401" s="9">
        <f>Table1[[#This Row],[annual_net_earnings_raw]]+(Table1[[#This Row],[annual_net_earnings_raw]]*Table1[[#This Row],[price_level_index_mean_deviance]])</f>
        <v>19249.812000000002</v>
      </c>
      <c r="G401" s="11" t="str">
        <f>IF(Table1[[#This Row],[date]]&lt;B400,"",(Table1[[#This Row],[european_earnings_index_raw]]-F400)/F400)</f>
        <v/>
      </c>
      <c r="H401" s="2">
        <f>_xlfn.IFNA(Table1[[#This Row],[annual_net_earnings_raw]], 0)</f>
        <v>20178</v>
      </c>
      <c r="I401" s="11"/>
    </row>
    <row r="402" spans="1:9" x14ac:dyDescent="0.25">
      <c r="A402" t="s">
        <v>40</v>
      </c>
      <c r="B402" t="s">
        <v>2</v>
      </c>
      <c r="C402">
        <v>106.6</v>
      </c>
      <c r="D402" s="3">
        <f>(100-Table1[[#This Row],[price_level_index]])/100</f>
        <v>-6.5999999999999948E-2</v>
      </c>
      <c r="E402" s="2">
        <v>21965</v>
      </c>
      <c r="F402" s="9">
        <f>Table1[[#This Row],[annual_net_earnings_raw]]+(Table1[[#This Row],[annual_net_earnings_raw]]*Table1[[#This Row],[price_level_index_mean_deviance]])</f>
        <v>20515.310000000001</v>
      </c>
      <c r="G402" s="11">
        <f>IF(Table1[[#This Row],[date]]&lt;B401,"",(Table1[[#This Row],[european_earnings_index_raw]]-F401)/F401)</f>
        <v>6.5740797884155933E-2</v>
      </c>
      <c r="H402" s="2">
        <f>_xlfn.IFNA(Table1[[#This Row],[annual_net_earnings_raw]], 0)</f>
        <v>21965</v>
      </c>
      <c r="I402" s="11"/>
    </row>
    <row r="403" spans="1:9" x14ac:dyDescent="0.25">
      <c r="A403" t="s">
        <v>40</v>
      </c>
      <c r="B403" t="s">
        <v>3</v>
      </c>
      <c r="C403">
        <v>106.9</v>
      </c>
      <c r="D403" s="3">
        <f>(100-Table1[[#This Row],[price_level_index]])/100</f>
        <v>-6.9000000000000061E-2</v>
      </c>
      <c r="E403" s="2">
        <v>22786</v>
      </c>
      <c r="F403" s="9">
        <f>Table1[[#This Row],[annual_net_earnings_raw]]+(Table1[[#This Row],[annual_net_earnings_raw]]*Table1[[#This Row],[price_level_index_mean_deviance]])</f>
        <v>21213.766</v>
      </c>
      <c r="G403" s="11">
        <f>IF(Table1[[#This Row],[date]]&lt;B402,"",(Table1[[#This Row],[european_earnings_index_raw]]-F402)/F402)</f>
        <v>3.4045598141095514E-2</v>
      </c>
      <c r="H403" s="2">
        <f>_xlfn.IFNA(Table1[[#This Row],[annual_net_earnings_raw]], 0)</f>
        <v>22786</v>
      </c>
      <c r="I403" s="11"/>
    </row>
    <row r="404" spans="1:9" x14ac:dyDescent="0.25">
      <c r="A404" t="s">
        <v>40</v>
      </c>
      <c r="B404" t="s">
        <v>4</v>
      </c>
      <c r="C404">
        <v>110.9</v>
      </c>
      <c r="D404" s="3">
        <f>(100-Table1[[#This Row],[price_level_index]])/100</f>
        <v>-0.10900000000000006</v>
      </c>
      <c r="E404" s="2">
        <v>22864</v>
      </c>
      <c r="F404" s="9">
        <f>Table1[[#This Row],[annual_net_earnings_raw]]+(Table1[[#This Row],[annual_net_earnings_raw]]*Table1[[#This Row],[price_level_index_mean_deviance]])</f>
        <v>20371.824000000001</v>
      </c>
      <c r="G404" s="11">
        <f>IF(Table1[[#This Row],[date]]&lt;B403,"",(Table1[[#This Row],[european_earnings_index_raw]]-F403)/F403)</f>
        <v>-3.9688473984298644E-2</v>
      </c>
      <c r="H404" s="2">
        <f>_xlfn.IFNA(Table1[[#This Row],[annual_net_earnings_raw]], 0)</f>
        <v>22864</v>
      </c>
      <c r="I404" s="11"/>
    </row>
    <row r="405" spans="1:9" x14ac:dyDescent="0.25">
      <c r="A405" t="s">
        <v>40</v>
      </c>
      <c r="B405" t="s">
        <v>5</v>
      </c>
      <c r="C405">
        <v>109.3</v>
      </c>
      <c r="D405" s="3">
        <f>(100-Table1[[#This Row],[price_level_index]])/100</f>
        <v>-9.2999999999999972E-2</v>
      </c>
      <c r="E405" s="2">
        <v>23606</v>
      </c>
      <c r="F405" s="9">
        <f>Table1[[#This Row],[annual_net_earnings_raw]]+(Table1[[#This Row],[annual_net_earnings_raw]]*Table1[[#This Row],[price_level_index_mean_deviance]])</f>
        <v>21410.642</v>
      </c>
      <c r="G405" s="11">
        <f>IF(Table1[[#This Row],[date]]&lt;B404,"",(Table1[[#This Row],[european_earnings_index_raw]]-F404)/F404)</f>
        <v>5.099288114800124E-2</v>
      </c>
      <c r="H405" s="2">
        <f>_xlfn.IFNA(Table1[[#This Row],[annual_net_earnings_raw]], 0)</f>
        <v>23606</v>
      </c>
      <c r="I405" s="11"/>
    </row>
    <row r="406" spans="1:9" x14ac:dyDescent="0.25">
      <c r="A406" t="s">
        <v>40</v>
      </c>
      <c r="B406" t="s">
        <v>6</v>
      </c>
      <c r="C406">
        <v>107.9</v>
      </c>
      <c r="D406" s="3">
        <f>(100-Table1[[#This Row],[price_level_index]])/100</f>
        <v>-7.9000000000000056E-2</v>
      </c>
      <c r="E406" s="2">
        <v>24423</v>
      </c>
      <c r="F406" s="9">
        <f>Table1[[#This Row],[annual_net_earnings_raw]]+(Table1[[#This Row],[annual_net_earnings_raw]]*Table1[[#This Row],[price_level_index_mean_deviance]])</f>
        <v>22493.582999999999</v>
      </c>
      <c r="G406" s="11">
        <f>IF(Table1[[#This Row],[date]]&lt;B405,"",(Table1[[#This Row],[european_earnings_index_raw]]-F405)/F405)</f>
        <v>5.0579566927511976E-2</v>
      </c>
      <c r="H406" s="2">
        <f>_xlfn.IFNA(Table1[[#This Row],[annual_net_earnings_raw]], 0)</f>
        <v>24423</v>
      </c>
      <c r="I406" s="11"/>
    </row>
    <row r="407" spans="1:9" x14ac:dyDescent="0.25">
      <c r="A407" t="s">
        <v>40</v>
      </c>
      <c r="B407" t="s">
        <v>7</v>
      </c>
      <c r="C407">
        <v>107.3</v>
      </c>
      <c r="D407" s="3">
        <f>(100-Table1[[#This Row],[price_level_index]])/100</f>
        <v>-7.2999999999999968E-2</v>
      </c>
      <c r="E407" s="2">
        <v>25978</v>
      </c>
      <c r="F407" s="9">
        <f>Table1[[#This Row],[annual_net_earnings_raw]]+(Table1[[#This Row],[annual_net_earnings_raw]]*Table1[[#This Row],[price_level_index_mean_deviance]])</f>
        <v>24081.606</v>
      </c>
      <c r="G407" s="11">
        <f>IF(Table1[[#This Row],[date]]&lt;B406,"",(Table1[[#This Row],[european_earnings_index_raw]]-F406)/F406)</f>
        <v>7.059893481620963E-2</v>
      </c>
      <c r="H407" s="2">
        <f>_xlfn.IFNA(Table1[[#This Row],[annual_net_earnings_raw]], 0)</f>
        <v>25978</v>
      </c>
      <c r="I407" s="11"/>
    </row>
    <row r="408" spans="1:9" x14ac:dyDescent="0.25">
      <c r="A408" t="s">
        <v>40</v>
      </c>
      <c r="B408" t="s">
        <v>8</v>
      </c>
      <c r="C408">
        <v>106.7</v>
      </c>
      <c r="D408" s="3">
        <f>(100-Table1[[#This Row],[price_level_index]])/100</f>
        <v>-6.7000000000000032E-2</v>
      </c>
      <c r="E408" s="2">
        <v>27144</v>
      </c>
      <c r="F408" s="9">
        <f>Table1[[#This Row],[annual_net_earnings_raw]]+(Table1[[#This Row],[annual_net_earnings_raw]]*Table1[[#This Row],[price_level_index_mean_deviance]])</f>
        <v>25325.351999999999</v>
      </c>
      <c r="G408" s="11">
        <f>IF(Table1[[#This Row],[date]]&lt;B407,"",(Table1[[#This Row],[european_earnings_index_raw]]-F407)/F407)</f>
        <v>5.1647136823017505E-2</v>
      </c>
      <c r="H408" s="2">
        <f>_xlfn.IFNA(Table1[[#This Row],[annual_net_earnings_raw]], 0)</f>
        <v>27144</v>
      </c>
      <c r="I408" s="11"/>
    </row>
    <row r="409" spans="1:9" x14ac:dyDescent="0.25">
      <c r="A409" t="s">
        <v>40</v>
      </c>
      <c r="B409" t="s">
        <v>9</v>
      </c>
      <c r="C409">
        <v>106.9</v>
      </c>
      <c r="D409" s="3">
        <f>(100-Table1[[#This Row],[price_level_index]])/100</f>
        <v>-6.9000000000000061E-2</v>
      </c>
      <c r="E409" s="2">
        <v>27614</v>
      </c>
      <c r="F409" s="9">
        <f>Table1[[#This Row],[annual_net_earnings_raw]]+(Table1[[#This Row],[annual_net_earnings_raw]]*Table1[[#This Row],[price_level_index_mean_deviance]])</f>
        <v>25708.633999999998</v>
      </c>
      <c r="G409" s="11">
        <f>IF(Table1[[#This Row],[date]]&lt;B408,"",(Table1[[#This Row],[european_earnings_index_raw]]-F408)/F408)</f>
        <v>1.5134320739154949E-2</v>
      </c>
      <c r="H409" s="2">
        <f>_xlfn.IFNA(Table1[[#This Row],[annual_net_earnings_raw]], 0)</f>
        <v>27614</v>
      </c>
      <c r="I409" s="11"/>
    </row>
    <row r="410" spans="1:9" x14ac:dyDescent="0.25">
      <c r="A410" t="s">
        <v>40</v>
      </c>
      <c r="B410" t="s">
        <v>10</v>
      </c>
      <c r="C410">
        <v>109.9</v>
      </c>
      <c r="D410" s="3">
        <f>(100-Table1[[#This Row],[price_level_index]])/100</f>
        <v>-9.900000000000006E-2</v>
      </c>
      <c r="E410" s="2">
        <v>28057</v>
      </c>
      <c r="F410" s="9">
        <f>Table1[[#This Row],[annual_net_earnings_raw]]+(Table1[[#This Row],[annual_net_earnings_raw]]*Table1[[#This Row],[price_level_index_mean_deviance]])</f>
        <v>25279.356999999996</v>
      </c>
      <c r="G410" s="11">
        <f>IF(Table1[[#This Row],[date]]&lt;B409,"",(Table1[[#This Row],[european_earnings_index_raw]]-F409)/F409)</f>
        <v>-1.669777554108872E-2</v>
      </c>
      <c r="H410" s="2">
        <f>_xlfn.IFNA(Table1[[#This Row],[annual_net_earnings_raw]], 0)</f>
        <v>28057</v>
      </c>
      <c r="I410" s="11"/>
    </row>
    <row r="411" spans="1:9" x14ac:dyDescent="0.25">
      <c r="A411" t="s">
        <v>40</v>
      </c>
      <c r="B411" t="s">
        <v>11</v>
      </c>
      <c r="C411">
        <v>114.6</v>
      </c>
      <c r="D411" s="3">
        <f>(100-Table1[[#This Row],[price_level_index]])/100</f>
        <v>-0.14599999999999994</v>
      </c>
      <c r="E411" s="2">
        <v>28165</v>
      </c>
      <c r="F411" s="9">
        <f>Table1[[#This Row],[annual_net_earnings_raw]]+(Table1[[#This Row],[annual_net_earnings_raw]]*Table1[[#This Row],[price_level_index_mean_deviance]])</f>
        <v>24052.910000000003</v>
      </c>
      <c r="G411" s="11">
        <f>IF(Table1[[#This Row],[date]]&lt;B410,"",(Table1[[#This Row],[european_earnings_index_raw]]-F410)/F410)</f>
        <v>-4.8515751409341348E-2</v>
      </c>
      <c r="H411" s="2">
        <f>_xlfn.IFNA(Table1[[#This Row],[annual_net_earnings_raw]], 0)</f>
        <v>28165</v>
      </c>
      <c r="I411" s="11"/>
    </row>
    <row r="412" spans="1:9" x14ac:dyDescent="0.25">
      <c r="A412" t="s">
        <v>40</v>
      </c>
      <c r="B412" t="s">
        <v>12</v>
      </c>
      <c r="C412">
        <v>114.9</v>
      </c>
      <c r="D412" s="3">
        <f>(100-Table1[[#This Row],[price_level_index]])/100</f>
        <v>-0.14900000000000005</v>
      </c>
      <c r="E412" s="2">
        <v>28481</v>
      </c>
      <c r="F412" s="9">
        <f>Table1[[#This Row],[annual_net_earnings_raw]]+(Table1[[#This Row],[annual_net_earnings_raw]]*Table1[[#This Row],[price_level_index_mean_deviance]])</f>
        <v>24237.330999999998</v>
      </c>
      <c r="G412" s="11">
        <f>IF(Table1[[#This Row],[date]]&lt;B411,"",(Table1[[#This Row],[european_earnings_index_raw]]-F411)/F411)</f>
        <v>7.6673051202534245E-3</v>
      </c>
      <c r="H412" s="2">
        <f>_xlfn.IFNA(Table1[[#This Row],[annual_net_earnings_raw]], 0)</f>
        <v>28481</v>
      </c>
      <c r="I412" s="11"/>
    </row>
    <row r="413" spans="1:9" x14ac:dyDescent="0.25">
      <c r="A413" t="s">
        <v>40</v>
      </c>
      <c r="B413" t="s">
        <v>13</v>
      </c>
      <c r="C413">
        <v>115</v>
      </c>
      <c r="D413" s="3">
        <f>(100-Table1[[#This Row],[price_level_index]])/100</f>
        <v>-0.15</v>
      </c>
      <c r="E413" s="2">
        <v>28468</v>
      </c>
      <c r="F413" s="9">
        <f>Table1[[#This Row],[annual_net_earnings_raw]]+(Table1[[#This Row],[annual_net_earnings_raw]]*Table1[[#This Row],[price_level_index_mean_deviance]])</f>
        <v>24197.8</v>
      </c>
      <c r="G413" s="11">
        <f>IF(Table1[[#This Row],[date]]&lt;B412,"",(Table1[[#This Row],[european_earnings_index_raw]]-F412)/F412)</f>
        <v>-1.630996416230774E-3</v>
      </c>
      <c r="H413" s="2">
        <f>_xlfn.IFNA(Table1[[#This Row],[annual_net_earnings_raw]], 0)</f>
        <v>28468</v>
      </c>
      <c r="I413" s="11"/>
    </row>
    <row r="414" spans="1:9" x14ac:dyDescent="0.25">
      <c r="A414" t="s">
        <v>40</v>
      </c>
      <c r="B414" t="s">
        <v>14</v>
      </c>
      <c r="C414">
        <v>115.2</v>
      </c>
      <c r="D414" s="3">
        <f>(100-Table1[[#This Row],[price_level_index]])/100</f>
        <v>-0.15200000000000002</v>
      </c>
      <c r="E414" s="2">
        <v>27879</v>
      </c>
      <c r="F414" s="9">
        <f>Table1[[#This Row],[annual_net_earnings_raw]]+(Table1[[#This Row],[annual_net_earnings_raw]]*Table1[[#This Row],[price_level_index_mean_deviance]])</f>
        <v>23641.392</v>
      </c>
      <c r="G414" s="11">
        <f>IF(Table1[[#This Row],[date]]&lt;B413,"",(Table1[[#This Row],[european_earnings_index_raw]]-F413)/F413)</f>
        <v>-2.299415649356551E-2</v>
      </c>
      <c r="H414" s="2">
        <f>_xlfn.IFNA(Table1[[#This Row],[annual_net_earnings_raw]], 0)</f>
        <v>27879</v>
      </c>
      <c r="I414" s="11"/>
    </row>
    <row r="415" spans="1:9" x14ac:dyDescent="0.25">
      <c r="A415" t="s">
        <v>40</v>
      </c>
      <c r="B415" t="s">
        <v>15</v>
      </c>
      <c r="C415">
        <v>116.6</v>
      </c>
      <c r="D415" s="3">
        <f>(100-Table1[[#This Row],[price_level_index]])/100</f>
        <v>-0.16599999999999995</v>
      </c>
      <c r="E415" s="2">
        <v>28649</v>
      </c>
      <c r="F415" s="9">
        <f>Table1[[#This Row],[annual_net_earnings_raw]]+(Table1[[#This Row],[annual_net_earnings_raw]]*Table1[[#This Row],[price_level_index_mean_deviance]])</f>
        <v>23893.266000000003</v>
      </c>
      <c r="G415" s="11">
        <f>IF(Table1[[#This Row],[date]]&lt;B414,"",(Table1[[#This Row],[european_earnings_index_raw]]-F414)/F414)</f>
        <v>1.0653941189249916E-2</v>
      </c>
      <c r="H415" s="2">
        <f>_xlfn.IFNA(Table1[[#This Row],[annual_net_earnings_raw]], 0)</f>
        <v>28649</v>
      </c>
      <c r="I415" s="11"/>
    </row>
    <row r="416" spans="1:9" x14ac:dyDescent="0.25">
      <c r="A416" t="s">
        <v>40</v>
      </c>
      <c r="B416" t="s">
        <v>16</v>
      </c>
      <c r="C416">
        <v>116.5</v>
      </c>
      <c r="D416" s="3">
        <f>(100-Table1[[#This Row],[price_level_index]])/100</f>
        <v>-0.16500000000000001</v>
      </c>
      <c r="E416" s="2">
        <v>30259</v>
      </c>
      <c r="F416" s="9">
        <f>Table1[[#This Row],[annual_net_earnings_raw]]+(Table1[[#This Row],[annual_net_earnings_raw]]*Table1[[#This Row],[price_level_index_mean_deviance]])</f>
        <v>25266.264999999999</v>
      </c>
      <c r="G416" s="11">
        <f>IF(Table1[[#This Row],[date]]&lt;B415,"",(Table1[[#This Row],[european_earnings_index_raw]]-F415)/F415)</f>
        <v>5.7463847763633315E-2</v>
      </c>
      <c r="H416" s="2">
        <f>_xlfn.IFNA(Table1[[#This Row],[annual_net_earnings_raw]], 0)</f>
        <v>30259</v>
      </c>
      <c r="I416" s="11"/>
    </row>
    <row r="417" spans="1:9" x14ac:dyDescent="0.25">
      <c r="A417" t="s">
        <v>40</v>
      </c>
      <c r="B417" t="s">
        <v>17</v>
      </c>
      <c r="C417">
        <v>118.7</v>
      </c>
      <c r="D417" s="3">
        <f>(100-Table1[[#This Row],[price_level_index]])/100</f>
        <v>-0.18700000000000003</v>
      </c>
      <c r="E417" s="2">
        <v>30183</v>
      </c>
      <c r="F417" s="9">
        <f>Table1[[#This Row],[annual_net_earnings_raw]]+(Table1[[#This Row],[annual_net_earnings_raw]]*Table1[[#This Row],[price_level_index_mean_deviance]])</f>
        <v>24538.778999999999</v>
      </c>
      <c r="G417" s="11">
        <f>IF(Table1[[#This Row],[date]]&lt;B416,"",(Table1[[#This Row],[european_earnings_index_raw]]-F416)/F416)</f>
        <v>-2.8792779621364725E-2</v>
      </c>
      <c r="H417" s="2">
        <f>_xlfn.IFNA(Table1[[#This Row],[annual_net_earnings_raw]], 0)</f>
        <v>30183</v>
      </c>
      <c r="I417" s="11"/>
    </row>
    <row r="418" spans="1:9" x14ac:dyDescent="0.25">
      <c r="A418" t="s">
        <v>40</v>
      </c>
      <c r="B418" t="s">
        <v>18</v>
      </c>
      <c r="C418">
        <v>117.7</v>
      </c>
      <c r="D418" s="3">
        <f>(100-Table1[[#This Row],[price_level_index]])/100</f>
        <v>-0.17700000000000002</v>
      </c>
      <c r="E418" s="2">
        <v>30855</v>
      </c>
      <c r="F418" s="9">
        <f>Table1[[#This Row],[annual_net_earnings_raw]]+(Table1[[#This Row],[annual_net_earnings_raw]]*Table1[[#This Row],[price_level_index_mean_deviance]])</f>
        <v>25393.665000000001</v>
      </c>
      <c r="G418" s="11">
        <f>IF(Table1[[#This Row],[date]]&lt;B417,"",(Table1[[#This Row],[european_earnings_index_raw]]-F417)/F417)</f>
        <v>3.4838163708145471E-2</v>
      </c>
      <c r="H418" s="2">
        <f>_xlfn.IFNA(Table1[[#This Row],[annual_net_earnings_raw]], 0)</f>
        <v>30855</v>
      </c>
      <c r="I418" s="11"/>
    </row>
    <row r="419" spans="1:9" x14ac:dyDescent="0.25">
      <c r="A419" t="s">
        <v>40</v>
      </c>
      <c r="B419" t="s">
        <v>19</v>
      </c>
      <c r="C419">
        <v>117.7</v>
      </c>
      <c r="D419" s="3">
        <f>(100-Table1[[#This Row],[price_level_index]])/100</f>
        <v>-0.17700000000000002</v>
      </c>
      <c r="E419" s="2">
        <v>31333</v>
      </c>
      <c r="F419" s="9">
        <f>Table1[[#This Row],[annual_net_earnings_raw]]+(Table1[[#This Row],[annual_net_earnings_raw]]*Table1[[#This Row],[price_level_index_mean_deviance]])</f>
        <v>25787.059000000001</v>
      </c>
      <c r="G419" s="11">
        <f>IF(Table1[[#This Row],[date]]&lt;B418,"",(Table1[[#This Row],[european_earnings_index_raw]]-F418)/F418)</f>
        <v>1.5491816561335286E-2</v>
      </c>
      <c r="H419" s="2">
        <f>_xlfn.IFNA(Table1[[#This Row],[annual_net_earnings_raw]], 0)</f>
        <v>31333</v>
      </c>
      <c r="I419" s="11"/>
    </row>
    <row r="420" spans="1:9" x14ac:dyDescent="0.25">
      <c r="A420" t="s">
        <v>40</v>
      </c>
      <c r="B420" t="s">
        <v>20</v>
      </c>
      <c r="C420">
        <v>120.9</v>
      </c>
      <c r="D420" s="3">
        <f>(100-Table1[[#This Row],[price_level_index]])/100</f>
        <v>-0.20900000000000005</v>
      </c>
      <c r="E420" s="2">
        <v>31935</v>
      </c>
      <c r="F420" s="9">
        <f>Table1[[#This Row],[annual_net_earnings_raw]]+(Table1[[#This Row],[annual_net_earnings_raw]]*Table1[[#This Row],[price_level_index_mean_deviance]])</f>
        <v>25260.584999999999</v>
      </c>
      <c r="G420" s="11">
        <f>IF(Table1[[#This Row],[date]]&lt;B419,"",(Table1[[#This Row],[european_earnings_index_raw]]-F419)/F419)</f>
        <v>-2.0416209541382829E-2</v>
      </c>
      <c r="H420" s="2">
        <f>_xlfn.IFNA(Table1[[#This Row],[annual_net_earnings_raw]], 0)</f>
        <v>31935</v>
      </c>
      <c r="I420" s="11"/>
    </row>
    <row r="421" spans="1:9" x14ac:dyDescent="0.25">
      <c r="A421" t="s">
        <v>40</v>
      </c>
      <c r="B421" t="s">
        <v>21</v>
      </c>
      <c r="C421">
        <v>120</v>
      </c>
      <c r="D421" s="3">
        <f>(100-Table1[[#This Row],[price_level_index]])/100</f>
        <v>-0.2</v>
      </c>
      <c r="E421" s="2">
        <v>33761</v>
      </c>
      <c r="F421" s="9">
        <f>Table1[[#This Row],[annual_net_earnings_raw]]+(Table1[[#This Row],[annual_net_earnings_raw]]*Table1[[#This Row],[price_level_index_mean_deviance]])</f>
        <v>27008.799999999999</v>
      </c>
      <c r="G421" s="11">
        <f>IF(Table1[[#This Row],[date]]&lt;B420,"",(Table1[[#This Row],[european_earnings_index_raw]]-F420)/F420)</f>
        <v>6.9207225406695855E-2</v>
      </c>
      <c r="H421" s="2">
        <f>_xlfn.IFNA(Table1[[#This Row],[annual_net_earnings_raw]], 0)</f>
        <v>33761</v>
      </c>
      <c r="I421" s="11"/>
    </row>
    <row r="422" spans="1:9" x14ac:dyDescent="0.25">
      <c r="A422" t="s">
        <v>41</v>
      </c>
      <c r="B422" t="s">
        <v>1</v>
      </c>
      <c r="C422">
        <v>54.1</v>
      </c>
      <c r="D422" s="3">
        <f>(100-Table1[[#This Row],[price_level_index]])/100</f>
        <v>0.45899999999999996</v>
      </c>
      <c r="E422" s="2">
        <v>6969</v>
      </c>
      <c r="F422" s="9">
        <f>Table1[[#This Row],[annual_net_earnings_raw]]+(Table1[[#This Row],[annual_net_earnings_raw]]*Table1[[#This Row],[price_level_index_mean_deviance]])</f>
        <v>10167.771000000001</v>
      </c>
      <c r="G422" s="11" t="str">
        <f>IF(Table1[[#This Row],[date]]&lt;B421,"",(Table1[[#This Row],[european_earnings_index_raw]]-F421)/F421)</f>
        <v/>
      </c>
      <c r="H422" s="2">
        <f>_xlfn.IFNA(Table1[[#This Row],[annual_net_earnings_raw]], 0)</f>
        <v>6969</v>
      </c>
      <c r="I422" s="11"/>
    </row>
    <row r="423" spans="1:9" x14ac:dyDescent="0.25">
      <c r="A423" t="s">
        <v>41</v>
      </c>
      <c r="B423" t="s">
        <v>2</v>
      </c>
      <c r="C423">
        <v>59.9</v>
      </c>
      <c r="D423" s="3">
        <f>(100-Table1[[#This Row],[price_level_index]])/100</f>
        <v>0.40100000000000002</v>
      </c>
      <c r="E423" s="2">
        <v>7400</v>
      </c>
      <c r="F423" s="9">
        <f>Table1[[#This Row],[annual_net_earnings_raw]]+(Table1[[#This Row],[annual_net_earnings_raw]]*Table1[[#This Row],[price_level_index_mean_deviance]])</f>
        <v>10367.4</v>
      </c>
      <c r="G423" s="11">
        <f>IF(Table1[[#This Row],[date]]&lt;B422,"",(Table1[[#This Row],[european_earnings_index_raw]]-F422)/F422)</f>
        <v>1.9633506694830063E-2</v>
      </c>
      <c r="H423" s="2">
        <f>_xlfn.IFNA(Table1[[#This Row],[annual_net_earnings_raw]], 0)</f>
        <v>7400</v>
      </c>
      <c r="I423" s="11"/>
    </row>
    <row r="424" spans="1:9" x14ac:dyDescent="0.25">
      <c r="A424" t="s">
        <v>41</v>
      </c>
      <c r="B424" t="s">
        <v>3</v>
      </c>
      <c r="C424">
        <v>56.7</v>
      </c>
      <c r="D424" s="3">
        <f>(100-Table1[[#This Row],[price_level_index]])/100</f>
        <v>0.433</v>
      </c>
      <c r="E424" s="2">
        <v>7605</v>
      </c>
      <c r="F424" s="9">
        <f>Table1[[#This Row],[annual_net_earnings_raw]]+(Table1[[#This Row],[annual_net_earnings_raw]]*Table1[[#This Row],[price_level_index_mean_deviance]])</f>
        <v>10897.965</v>
      </c>
      <c r="G424" s="11">
        <f>IF(Table1[[#This Row],[date]]&lt;B423,"",(Table1[[#This Row],[european_earnings_index_raw]]-F423)/F423)</f>
        <v>5.1176283349730935E-2</v>
      </c>
      <c r="H424" s="2">
        <f>_xlfn.IFNA(Table1[[#This Row],[annual_net_earnings_raw]], 0)</f>
        <v>7605</v>
      </c>
      <c r="I424" s="11"/>
    </row>
    <row r="425" spans="1:9" x14ac:dyDescent="0.25">
      <c r="A425" t="s">
        <v>41</v>
      </c>
      <c r="B425" t="s">
        <v>4</v>
      </c>
      <c r="C425">
        <v>49.2</v>
      </c>
      <c r="D425" s="3">
        <f>(100-Table1[[#This Row],[price_level_index]])/100</f>
        <v>0.50800000000000001</v>
      </c>
      <c r="E425" s="2">
        <v>8010</v>
      </c>
      <c r="F425" s="9">
        <f>Table1[[#This Row],[annual_net_earnings_raw]]+(Table1[[#This Row],[annual_net_earnings_raw]]*Table1[[#This Row],[price_level_index_mean_deviance]])</f>
        <v>12079.08</v>
      </c>
      <c r="G425" s="11">
        <f>IF(Table1[[#This Row],[date]]&lt;B424,"",(Table1[[#This Row],[european_earnings_index_raw]]-F424)/F424)</f>
        <v>0.1083794084491921</v>
      </c>
      <c r="H425" s="2">
        <f>_xlfn.IFNA(Table1[[#This Row],[annual_net_earnings_raw]], 0)</f>
        <v>8010</v>
      </c>
      <c r="I425" s="11"/>
    </row>
    <row r="426" spans="1:9" x14ac:dyDescent="0.25">
      <c r="A426" t="s">
        <v>41</v>
      </c>
      <c r="B426" t="s">
        <v>5</v>
      </c>
      <c r="C426">
        <v>48.8</v>
      </c>
      <c r="D426" s="3">
        <f>(100-Table1[[#This Row],[price_level_index]])/100</f>
        <v>0.51200000000000001</v>
      </c>
      <c r="E426" s="2">
        <v>7985</v>
      </c>
      <c r="F426" s="9">
        <f>Table1[[#This Row],[annual_net_earnings_raw]]+(Table1[[#This Row],[annual_net_earnings_raw]]*Table1[[#This Row],[price_level_index_mean_deviance]])</f>
        <v>12073.32</v>
      </c>
      <c r="G426" s="11">
        <f>IF(Table1[[#This Row],[date]]&lt;B425,"",(Table1[[#This Row],[european_earnings_index_raw]]-F425)/F425)</f>
        <v>-4.7685750901560535E-4</v>
      </c>
      <c r="H426" s="2">
        <f>_xlfn.IFNA(Table1[[#This Row],[annual_net_earnings_raw]], 0)</f>
        <v>7985</v>
      </c>
      <c r="I426" s="11"/>
    </row>
    <row r="427" spans="1:9" x14ac:dyDescent="0.25">
      <c r="A427" t="s">
        <v>41</v>
      </c>
      <c r="B427" t="s">
        <v>6</v>
      </c>
      <c r="C427">
        <v>56.5</v>
      </c>
      <c r="D427" s="3">
        <f>(100-Table1[[#This Row],[price_level_index]])/100</f>
        <v>0.435</v>
      </c>
      <c r="E427" s="2">
        <v>7975</v>
      </c>
      <c r="F427" s="9">
        <f>Table1[[#This Row],[annual_net_earnings_raw]]+(Table1[[#This Row],[annual_net_earnings_raw]]*Table1[[#This Row],[price_level_index_mean_deviance]])</f>
        <v>11444.125</v>
      </c>
      <c r="G427" s="11">
        <f>IF(Table1[[#This Row],[date]]&lt;B426,"",(Table1[[#This Row],[european_earnings_index_raw]]-F426)/F426)</f>
        <v>-5.2114497089450103E-2</v>
      </c>
      <c r="H427" s="2">
        <f>_xlfn.IFNA(Table1[[#This Row],[annual_net_earnings_raw]], 0)</f>
        <v>7975</v>
      </c>
      <c r="I427" s="11"/>
    </row>
    <row r="428" spans="1:9" x14ac:dyDescent="0.25">
      <c r="A428" t="s">
        <v>41</v>
      </c>
      <c r="B428" t="s">
        <v>7</v>
      </c>
      <c r="C428">
        <v>58.5</v>
      </c>
      <c r="D428" s="3">
        <f>(100-Table1[[#This Row],[price_level_index]])/100</f>
        <v>0.41499999999999998</v>
      </c>
      <c r="E428" s="2">
        <v>8381</v>
      </c>
      <c r="F428" s="9">
        <f>Table1[[#This Row],[annual_net_earnings_raw]]+(Table1[[#This Row],[annual_net_earnings_raw]]*Table1[[#This Row],[price_level_index_mean_deviance]])</f>
        <v>11859.115</v>
      </c>
      <c r="G428" s="11">
        <f>IF(Table1[[#This Row],[date]]&lt;B427,"",(Table1[[#This Row],[european_earnings_index_raw]]-F427)/F427)</f>
        <v>3.6262274311054783E-2</v>
      </c>
      <c r="H428" s="2">
        <f>_xlfn.IFNA(Table1[[#This Row],[annual_net_earnings_raw]], 0)</f>
        <v>8381</v>
      </c>
      <c r="I428" s="11"/>
    </row>
    <row r="429" spans="1:9" x14ac:dyDescent="0.25">
      <c r="A429" t="s">
        <v>41</v>
      </c>
      <c r="B429" t="s">
        <v>8</v>
      </c>
      <c r="C429">
        <v>58.5</v>
      </c>
      <c r="D429" s="3">
        <f>(100-Table1[[#This Row],[price_level_index]])/100</f>
        <v>0.41499999999999998</v>
      </c>
      <c r="E429" s="2">
        <v>9660</v>
      </c>
      <c r="F429" s="9">
        <f>Table1[[#This Row],[annual_net_earnings_raw]]+(Table1[[#This Row],[annual_net_earnings_raw]]*Table1[[#This Row],[price_level_index_mean_deviance]])</f>
        <v>13668.9</v>
      </c>
      <c r="G429" s="11">
        <f>IF(Table1[[#This Row],[date]]&lt;B428,"",(Table1[[#This Row],[european_earnings_index_raw]]-F428)/F428)</f>
        <v>0.15260708745973034</v>
      </c>
      <c r="H429" s="2">
        <f>_xlfn.IFNA(Table1[[#This Row],[annual_net_earnings_raw]], 0)</f>
        <v>9660</v>
      </c>
      <c r="I429" s="11"/>
    </row>
    <row r="430" spans="1:9" x14ac:dyDescent="0.25">
      <c r="A430" t="s">
        <v>41</v>
      </c>
      <c r="B430" t="s">
        <v>9</v>
      </c>
      <c r="C430">
        <v>64.2</v>
      </c>
      <c r="D430" s="3">
        <f>(100-Table1[[#This Row],[price_level_index]])/100</f>
        <v>0.35799999999999998</v>
      </c>
      <c r="E430" s="2">
        <v>10422</v>
      </c>
      <c r="F430" s="9">
        <f>Table1[[#This Row],[annual_net_earnings_raw]]+(Table1[[#This Row],[annual_net_earnings_raw]]*Table1[[#This Row],[price_level_index_mean_deviance]])</f>
        <v>14153.076000000001</v>
      </c>
      <c r="G430" s="11">
        <f>IF(Table1[[#This Row],[date]]&lt;B429,"",(Table1[[#This Row],[european_earnings_index_raw]]-F429)/F429)</f>
        <v>3.5421723767091816E-2</v>
      </c>
      <c r="H430" s="2">
        <f>_xlfn.IFNA(Table1[[#This Row],[annual_net_earnings_raw]], 0)</f>
        <v>10422</v>
      </c>
      <c r="I430" s="11"/>
    </row>
    <row r="431" spans="1:9" x14ac:dyDescent="0.25">
      <c r="A431" t="s">
        <v>41</v>
      </c>
      <c r="B431" t="s">
        <v>10</v>
      </c>
      <c r="C431">
        <v>53.8</v>
      </c>
      <c r="D431" s="3">
        <f>(100-Table1[[#This Row],[price_level_index]])/100</f>
        <v>0.46200000000000002</v>
      </c>
      <c r="E431" s="2">
        <v>10518</v>
      </c>
      <c r="F431" s="9">
        <f>Table1[[#This Row],[annual_net_earnings_raw]]+(Table1[[#This Row],[annual_net_earnings_raw]]*Table1[[#This Row],[price_level_index_mean_deviance]])</f>
        <v>15377.315999999999</v>
      </c>
      <c r="G431" s="11">
        <f>IF(Table1[[#This Row],[date]]&lt;B430,"",(Table1[[#This Row],[european_earnings_index_raw]]-F430)/F430)</f>
        <v>8.6499924115435958E-2</v>
      </c>
      <c r="H431" s="2">
        <f>_xlfn.IFNA(Table1[[#This Row],[annual_net_earnings_raw]], 0)</f>
        <v>10518</v>
      </c>
      <c r="I431" s="11"/>
    </row>
    <row r="432" spans="1:9" x14ac:dyDescent="0.25">
      <c r="A432" t="s">
        <v>41</v>
      </c>
      <c r="B432" t="s">
        <v>11</v>
      </c>
      <c r="C432">
        <v>56.3</v>
      </c>
      <c r="D432" s="3">
        <f>(100-Table1[[#This Row],[price_level_index]])/100</f>
        <v>0.43700000000000006</v>
      </c>
      <c r="E432" s="2">
        <v>11347</v>
      </c>
      <c r="F432" s="9">
        <f>Table1[[#This Row],[annual_net_earnings_raw]]+(Table1[[#This Row],[annual_net_earnings_raw]]*Table1[[#This Row],[price_level_index_mean_deviance]])</f>
        <v>16305.639000000001</v>
      </c>
      <c r="G432" s="11">
        <f>IF(Table1[[#This Row],[date]]&lt;B431,"",(Table1[[#This Row],[european_earnings_index_raw]]-F431)/F431)</f>
        <v>6.0369637978435392E-2</v>
      </c>
      <c r="H432" s="2">
        <f>_xlfn.IFNA(Table1[[#This Row],[annual_net_earnings_raw]], 0)</f>
        <v>11347</v>
      </c>
      <c r="I432" s="11"/>
    </row>
    <row r="433" spans="1:9" x14ac:dyDescent="0.25">
      <c r="A433" t="s">
        <v>41</v>
      </c>
      <c r="B433" t="s">
        <v>12</v>
      </c>
      <c r="C433">
        <v>54.8</v>
      </c>
      <c r="D433" s="3">
        <f>(100-Table1[[#This Row],[price_level_index]])/100</f>
        <v>0.45200000000000001</v>
      </c>
      <c r="E433" s="2">
        <v>12038</v>
      </c>
      <c r="F433" s="9">
        <f>Table1[[#This Row],[annual_net_earnings_raw]]+(Table1[[#This Row],[annual_net_earnings_raw]]*Table1[[#This Row],[price_level_index_mean_deviance]])</f>
        <v>17479.175999999999</v>
      </c>
      <c r="G433" s="11">
        <f>IF(Table1[[#This Row],[date]]&lt;B432,"",(Table1[[#This Row],[european_earnings_index_raw]]-F432)/F432)</f>
        <v>7.1971236453842652E-2</v>
      </c>
      <c r="H433" s="2">
        <f>_xlfn.IFNA(Table1[[#This Row],[annual_net_earnings_raw]], 0)</f>
        <v>12038</v>
      </c>
      <c r="I433" s="11"/>
    </row>
    <row r="434" spans="1:9" x14ac:dyDescent="0.25">
      <c r="A434" t="s">
        <v>41</v>
      </c>
      <c r="B434" t="s">
        <v>13</v>
      </c>
      <c r="C434">
        <v>53.8</v>
      </c>
      <c r="D434" s="3">
        <f>(100-Table1[[#This Row],[price_level_index]])/100</f>
        <v>0.46200000000000002</v>
      </c>
      <c r="E434" s="2">
        <v>12567</v>
      </c>
      <c r="F434" s="9">
        <f>Table1[[#This Row],[annual_net_earnings_raw]]+(Table1[[#This Row],[annual_net_earnings_raw]]*Table1[[#This Row],[price_level_index_mean_deviance]])</f>
        <v>18372.954000000002</v>
      </c>
      <c r="G434" s="11">
        <f>IF(Table1[[#This Row],[date]]&lt;B433,"",(Table1[[#This Row],[european_earnings_index_raw]]-F433)/F433)</f>
        <v>5.1133874960696206E-2</v>
      </c>
      <c r="H434" s="2">
        <f>_xlfn.IFNA(Table1[[#This Row],[annual_net_earnings_raw]], 0)</f>
        <v>12567</v>
      </c>
      <c r="I434" s="11"/>
    </row>
    <row r="435" spans="1:9" x14ac:dyDescent="0.25">
      <c r="A435" t="s">
        <v>41</v>
      </c>
      <c r="B435" t="s">
        <v>14</v>
      </c>
      <c r="C435">
        <v>54</v>
      </c>
      <c r="D435" s="3">
        <f>(100-Table1[[#This Row],[price_level_index]])/100</f>
        <v>0.46</v>
      </c>
      <c r="E435" s="2">
        <v>13034</v>
      </c>
      <c r="F435" s="9">
        <f>Table1[[#This Row],[annual_net_earnings_raw]]+(Table1[[#This Row],[annual_net_earnings_raw]]*Table1[[#This Row],[price_level_index_mean_deviance]])</f>
        <v>19029.64</v>
      </c>
      <c r="G435" s="11">
        <f>IF(Table1[[#This Row],[date]]&lt;B434,"",(Table1[[#This Row],[european_earnings_index_raw]]-F434)/F434)</f>
        <v>3.574199336698921E-2</v>
      </c>
      <c r="H435" s="2">
        <f>_xlfn.IFNA(Table1[[#This Row],[annual_net_earnings_raw]], 0)</f>
        <v>13034</v>
      </c>
      <c r="I435" s="11"/>
    </row>
    <row r="436" spans="1:9" x14ac:dyDescent="0.25">
      <c r="A436" t="s">
        <v>41</v>
      </c>
      <c r="B436" t="s">
        <v>15</v>
      </c>
      <c r="C436">
        <v>54.7</v>
      </c>
      <c r="D436" s="3">
        <f>(100-Table1[[#This Row],[price_level_index]])/100</f>
        <v>0.45299999999999996</v>
      </c>
      <c r="E436" s="2">
        <v>13754</v>
      </c>
      <c r="F436" s="9">
        <f>Table1[[#This Row],[annual_net_earnings_raw]]+(Table1[[#This Row],[annual_net_earnings_raw]]*Table1[[#This Row],[price_level_index_mean_deviance]])</f>
        <v>19984.561999999998</v>
      </c>
      <c r="G436" s="11">
        <f>IF(Table1[[#This Row],[date]]&lt;B435,"",(Table1[[#This Row],[european_earnings_index_raw]]-F435)/F435)</f>
        <v>5.018077062939702E-2</v>
      </c>
      <c r="H436" s="2">
        <f>_xlfn.IFNA(Table1[[#This Row],[annual_net_earnings_raw]], 0)</f>
        <v>13754</v>
      </c>
      <c r="I436" s="11"/>
    </row>
    <row r="437" spans="1:9" x14ac:dyDescent="0.25">
      <c r="A437" t="s">
        <v>41</v>
      </c>
      <c r="B437" t="s">
        <v>16</v>
      </c>
      <c r="C437">
        <v>54.4</v>
      </c>
      <c r="D437" s="3">
        <f>(100-Table1[[#This Row],[price_level_index]])/100</f>
        <v>0.45600000000000002</v>
      </c>
      <c r="E437" s="2">
        <v>14360</v>
      </c>
      <c r="F437" s="9">
        <f>Table1[[#This Row],[annual_net_earnings_raw]]+(Table1[[#This Row],[annual_net_earnings_raw]]*Table1[[#This Row],[price_level_index_mean_deviance]])</f>
        <v>20908.16</v>
      </c>
      <c r="G437" s="11">
        <f>IF(Table1[[#This Row],[date]]&lt;B436,"",(Table1[[#This Row],[european_earnings_index_raw]]-F436)/F436)</f>
        <v>4.6215573801417408E-2</v>
      </c>
      <c r="H437" s="2">
        <f>_xlfn.IFNA(Table1[[#This Row],[annual_net_earnings_raw]], 0)</f>
        <v>14360</v>
      </c>
      <c r="I437" s="11"/>
    </row>
    <row r="438" spans="1:9" x14ac:dyDescent="0.25">
      <c r="A438" t="s">
        <v>41</v>
      </c>
      <c r="B438" t="s">
        <v>17</v>
      </c>
      <c r="C438">
        <v>53</v>
      </c>
      <c r="D438" s="3">
        <f>(100-Table1[[#This Row],[price_level_index]])/100</f>
        <v>0.47</v>
      </c>
      <c r="E438" s="2">
        <v>14660</v>
      </c>
      <c r="F438" s="9">
        <f>Table1[[#This Row],[annual_net_earnings_raw]]+(Table1[[#This Row],[annual_net_earnings_raw]]*Table1[[#This Row],[price_level_index_mean_deviance]])</f>
        <v>21550.2</v>
      </c>
      <c r="G438" s="11">
        <f>IF(Table1[[#This Row],[date]]&lt;B437,"",(Table1[[#This Row],[european_earnings_index_raw]]-F437)/F437)</f>
        <v>3.0707628026569574E-2</v>
      </c>
      <c r="H438" s="2">
        <f>_xlfn.IFNA(Table1[[#This Row],[annual_net_earnings_raw]], 0)</f>
        <v>14660</v>
      </c>
      <c r="I438" s="11"/>
    </row>
    <row r="439" spans="1:9" x14ac:dyDescent="0.25">
      <c r="A439" t="s">
        <v>41</v>
      </c>
      <c r="B439" t="s">
        <v>18</v>
      </c>
      <c r="C439">
        <v>55.6</v>
      </c>
      <c r="D439" s="3">
        <f>(100-Table1[[#This Row],[price_level_index]])/100</f>
        <v>0.44400000000000001</v>
      </c>
      <c r="E439" s="2">
        <v>15269</v>
      </c>
      <c r="F439" s="9">
        <f>Table1[[#This Row],[annual_net_earnings_raw]]+(Table1[[#This Row],[annual_net_earnings_raw]]*Table1[[#This Row],[price_level_index_mean_deviance]])</f>
        <v>22048.436000000002</v>
      </c>
      <c r="G439" s="11">
        <f>IF(Table1[[#This Row],[date]]&lt;B438,"",(Table1[[#This Row],[european_earnings_index_raw]]-F438)/F438)</f>
        <v>2.3119785431225733E-2</v>
      </c>
      <c r="H439" s="2">
        <f>_xlfn.IFNA(Table1[[#This Row],[annual_net_earnings_raw]], 0)</f>
        <v>15269</v>
      </c>
      <c r="I439" s="11"/>
    </row>
    <row r="440" spans="1:9" x14ac:dyDescent="0.25">
      <c r="A440" t="s">
        <v>41</v>
      </c>
      <c r="B440" t="s">
        <v>19</v>
      </c>
      <c r="C440">
        <v>56.5</v>
      </c>
      <c r="D440" s="3">
        <f>(100-Table1[[#This Row],[price_level_index]])/100</f>
        <v>0.435</v>
      </c>
      <c r="E440" s="2">
        <v>16050</v>
      </c>
      <c r="F440" s="9">
        <f>Table1[[#This Row],[annual_net_earnings_raw]]+(Table1[[#This Row],[annual_net_earnings_raw]]*Table1[[#This Row],[price_level_index_mean_deviance]])</f>
        <v>23031.75</v>
      </c>
      <c r="G440" s="11">
        <f>IF(Table1[[#This Row],[date]]&lt;B439,"",(Table1[[#This Row],[european_earnings_index_raw]]-F439)/F439)</f>
        <v>4.4597902545105622E-2</v>
      </c>
      <c r="H440" s="2">
        <f>_xlfn.IFNA(Table1[[#This Row],[annual_net_earnings_raw]], 0)</f>
        <v>16050</v>
      </c>
      <c r="I440" s="11"/>
    </row>
    <row r="441" spans="1:9" x14ac:dyDescent="0.25">
      <c r="A441" t="s">
        <v>41</v>
      </c>
      <c r="B441" t="s">
        <v>20</v>
      </c>
      <c r="C441">
        <v>56.9</v>
      </c>
      <c r="D441" s="3">
        <f>(100-Table1[[#This Row],[price_level_index]])/100</f>
        <v>0.43099999999999999</v>
      </c>
      <c r="E441" s="2">
        <v>17075</v>
      </c>
      <c r="F441" s="9">
        <f>Table1[[#This Row],[annual_net_earnings_raw]]+(Table1[[#This Row],[annual_net_earnings_raw]]*Table1[[#This Row],[price_level_index_mean_deviance]])</f>
        <v>24434.325000000001</v>
      </c>
      <c r="G441" s="11">
        <f>IF(Table1[[#This Row],[date]]&lt;B440,"",(Table1[[#This Row],[european_earnings_index_raw]]-F440)/F440)</f>
        <v>6.0897456771630498E-2</v>
      </c>
      <c r="H441" s="2">
        <f>_xlfn.IFNA(Table1[[#This Row],[annual_net_earnings_raw]], 0)</f>
        <v>17075</v>
      </c>
      <c r="I441" s="11"/>
    </row>
    <row r="442" spans="1:9" x14ac:dyDescent="0.25">
      <c r="A442" t="s">
        <v>41</v>
      </c>
      <c r="B442" t="s">
        <v>21</v>
      </c>
      <c r="C442">
        <v>56</v>
      </c>
      <c r="D442" s="3">
        <f>(100-Table1[[#This Row],[price_level_index]])/100</f>
        <v>0.44</v>
      </c>
      <c r="E442" s="2">
        <v>17799</v>
      </c>
      <c r="F442" s="9">
        <f>Table1[[#This Row],[annual_net_earnings_raw]]+(Table1[[#This Row],[annual_net_earnings_raw]]*Table1[[#This Row],[price_level_index_mean_deviance]])</f>
        <v>25630.560000000001</v>
      </c>
      <c r="G442" s="11">
        <f>IF(Table1[[#This Row],[date]]&lt;B441,"",(Table1[[#This Row],[european_earnings_index_raw]]-F441)/F441)</f>
        <v>4.8957153512527996E-2</v>
      </c>
      <c r="H442" s="2">
        <f>_xlfn.IFNA(Table1[[#This Row],[annual_net_earnings_raw]], 0)</f>
        <v>17799</v>
      </c>
      <c r="I442" s="11"/>
    </row>
    <row r="443" spans="1:9" x14ac:dyDescent="0.25">
      <c r="A443" t="s">
        <v>42</v>
      </c>
      <c r="B443" t="s">
        <v>1</v>
      </c>
      <c r="C443">
        <v>82.7</v>
      </c>
      <c r="D443" s="3">
        <f>(100-Table1[[#This Row],[price_level_index]])/100</f>
        <v>0.17299999999999996</v>
      </c>
      <c r="E443" s="2">
        <v>10262</v>
      </c>
      <c r="F443" s="9">
        <f>Table1[[#This Row],[annual_net_earnings_raw]]+(Table1[[#This Row],[annual_net_earnings_raw]]*Table1[[#This Row],[price_level_index_mean_deviance]])</f>
        <v>12037.325999999999</v>
      </c>
      <c r="G443" s="11" t="str">
        <f>IF(Table1[[#This Row],[date]]&lt;B442,"",(Table1[[#This Row],[european_earnings_index_raw]]-F442)/F442)</f>
        <v/>
      </c>
      <c r="H443" s="2">
        <f>_xlfn.IFNA(Table1[[#This Row],[annual_net_earnings_raw]], 0)</f>
        <v>10262</v>
      </c>
      <c r="I443" s="11"/>
    </row>
    <row r="444" spans="1:9" x14ac:dyDescent="0.25">
      <c r="A444" t="s">
        <v>42</v>
      </c>
      <c r="B444" t="s">
        <v>2</v>
      </c>
      <c r="C444">
        <v>84</v>
      </c>
      <c r="D444" s="3">
        <f>(100-Table1[[#This Row],[price_level_index]])/100</f>
        <v>0.16</v>
      </c>
      <c r="E444" s="2">
        <v>10853</v>
      </c>
      <c r="F444" s="9">
        <f>Table1[[#This Row],[annual_net_earnings_raw]]+(Table1[[#This Row],[annual_net_earnings_raw]]*Table1[[#This Row],[price_level_index_mean_deviance]])</f>
        <v>12589.48</v>
      </c>
      <c r="G444" s="11">
        <f>IF(Table1[[#This Row],[date]]&lt;B443,"",(Table1[[#This Row],[european_earnings_index_raw]]-F443)/F443)</f>
        <v>4.5870154218636307E-2</v>
      </c>
      <c r="H444" s="2">
        <f>_xlfn.IFNA(Table1[[#This Row],[annual_net_earnings_raw]], 0)</f>
        <v>10853</v>
      </c>
      <c r="I444" s="11"/>
    </row>
    <row r="445" spans="1:9" x14ac:dyDescent="0.25">
      <c r="A445" t="s">
        <v>42</v>
      </c>
      <c r="B445" t="s">
        <v>3</v>
      </c>
      <c r="C445">
        <v>85.8</v>
      </c>
      <c r="D445" s="3">
        <f>(100-Table1[[#This Row],[price_level_index]])/100</f>
        <v>0.14200000000000002</v>
      </c>
      <c r="E445" s="2">
        <v>11999</v>
      </c>
      <c r="F445" s="9">
        <f>Table1[[#This Row],[annual_net_earnings_raw]]+(Table1[[#This Row],[annual_net_earnings_raw]]*Table1[[#This Row],[price_level_index_mean_deviance]])</f>
        <v>13702.858</v>
      </c>
      <c r="G445" s="11">
        <f>IF(Table1[[#This Row],[date]]&lt;B444,"",(Table1[[#This Row],[european_earnings_index_raw]]-F444)/F444)</f>
        <v>8.8437171352589675E-2</v>
      </c>
      <c r="H445" s="2">
        <f>_xlfn.IFNA(Table1[[#This Row],[annual_net_earnings_raw]], 0)</f>
        <v>11999</v>
      </c>
      <c r="I445" s="11"/>
    </row>
    <row r="446" spans="1:9" x14ac:dyDescent="0.25">
      <c r="A446" t="s">
        <v>42</v>
      </c>
      <c r="B446" t="s">
        <v>4</v>
      </c>
      <c r="C446">
        <v>85</v>
      </c>
      <c r="D446" s="3">
        <f>(100-Table1[[#This Row],[price_level_index]])/100</f>
        <v>0.15</v>
      </c>
      <c r="E446" s="2">
        <v>12260</v>
      </c>
      <c r="F446" s="9">
        <f>Table1[[#This Row],[annual_net_earnings_raw]]+(Table1[[#This Row],[annual_net_earnings_raw]]*Table1[[#This Row],[price_level_index_mean_deviance]])</f>
        <v>14099</v>
      </c>
      <c r="G446" s="11">
        <f>IF(Table1[[#This Row],[date]]&lt;B445,"",(Table1[[#This Row],[european_earnings_index_raw]]-F445)/F445)</f>
        <v>2.8909443562795428E-2</v>
      </c>
      <c r="H446" s="2">
        <f>_xlfn.IFNA(Table1[[#This Row],[annual_net_earnings_raw]], 0)</f>
        <v>12260</v>
      </c>
      <c r="I446" s="11"/>
    </row>
    <row r="447" spans="1:9" x14ac:dyDescent="0.25">
      <c r="A447" t="s">
        <v>42</v>
      </c>
      <c r="B447" t="s">
        <v>5</v>
      </c>
      <c r="C447">
        <v>85.6</v>
      </c>
      <c r="D447" s="3">
        <f>(100-Table1[[#This Row],[price_level_index]])/100</f>
        <v>0.14400000000000004</v>
      </c>
      <c r="E447" s="2">
        <v>12481</v>
      </c>
      <c r="F447" s="9">
        <f>Table1[[#This Row],[annual_net_earnings_raw]]+(Table1[[#This Row],[annual_net_earnings_raw]]*Table1[[#This Row],[price_level_index_mean_deviance]])</f>
        <v>14278.264000000001</v>
      </c>
      <c r="G447" s="11">
        <f>IF(Table1[[#This Row],[date]]&lt;B446,"",(Table1[[#This Row],[european_earnings_index_raw]]-F446)/F446)</f>
        <v>1.2714660614228032E-2</v>
      </c>
      <c r="H447" s="2">
        <f>_xlfn.IFNA(Table1[[#This Row],[annual_net_earnings_raw]], 0)</f>
        <v>12481</v>
      </c>
      <c r="I447" s="11"/>
    </row>
    <row r="448" spans="1:9" x14ac:dyDescent="0.25">
      <c r="A448" t="s">
        <v>42</v>
      </c>
      <c r="B448" t="s">
        <v>6</v>
      </c>
      <c r="C448">
        <v>84</v>
      </c>
      <c r="D448" s="3">
        <f>(100-Table1[[#This Row],[price_level_index]])/100</f>
        <v>0.16</v>
      </c>
      <c r="E448" s="2">
        <v>13186</v>
      </c>
      <c r="F448" s="9">
        <f>Table1[[#This Row],[annual_net_earnings_raw]]+(Table1[[#This Row],[annual_net_earnings_raw]]*Table1[[#This Row],[price_level_index_mean_deviance]])</f>
        <v>15295.76</v>
      </c>
      <c r="G448" s="11">
        <f>IF(Table1[[#This Row],[date]]&lt;B447,"",(Table1[[#This Row],[european_earnings_index_raw]]-F447)/F447)</f>
        <v>7.1261884498003331E-2</v>
      </c>
      <c r="H448" s="2">
        <f>_xlfn.IFNA(Table1[[#This Row],[annual_net_earnings_raw]], 0)</f>
        <v>13186</v>
      </c>
      <c r="I448" s="11"/>
    </row>
    <row r="449" spans="1:9" x14ac:dyDescent="0.25">
      <c r="A449" t="s">
        <v>42</v>
      </c>
      <c r="B449" t="s">
        <v>7</v>
      </c>
      <c r="C449">
        <v>83.5</v>
      </c>
      <c r="D449" s="3">
        <f>(100-Table1[[#This Row],[price_level_index]])/100</f>
        <v>0.16500000000000001</v>
      </c>
      <c r="E449" s="2">
        <v>14430</v>
      </c>
      <c r="F449" s="9">
        <f>Table1[[#This Row],[annual_net_earnings_raw]]+(Table1[[#This Row],[annual_net_earnings_raw]]*Table1[[#This Row],[price_level_index_mean_deviance]])</f>
        <v>16810.95</v>
      </c>
      <c r="G449" s="11">
        <f>IF(Table1[[#This Row],[date]]&lt;B448,"",(Table1[[#This Row],[european_earnings_index_raw]]-F448)/F448)</f>
        <v>9.9059477920678707E-2</v>
      </c>
      <c r="H449" s="2">
        <f>_xlfn.IFNA(Table1[[#This Row],[annual_net_earnings_raw]], 0)</f>
        <v>14430</v>
      </c>
      <c r="I449" s="11"/>
    </row>
    <row r="450" spans="1:9" x14ac:dyDescent="0.25">
      <c r="A450" t="s">
        <v>42</v>
      </c>
      <c r="B450" t="s">
        <v>8</v>
      </c>
      <c r="C450">
        <v>85.1</v>
      </c>
      <c r="D450" s="3">
        <f>(100-Table1[[#This Row],[price_level_index]])/100</f>
        <v>0.14900000000000005</v>
      </c>
      <c r="E450" s="2">
        <v>14085</v>
      </c>
      <c r="F450" s="9">
        <f>Table1[[#This Row],[annual_net_earnings_raw]]+(Table1[[#This Row],[annual_net_earnings_raw]]*Table1[[#This Row],[price_level_index_mean_deviance]])</f>
        <v>16183.665000000001</v>
      </c>
      <c r="G450" s="11">
        <f>IF(Table1[[#This Row],[date]]&lt;B449,"",(Table1[[#This Row],[european_earnings_index_raw]]-F449)/F449)</f>
        <v>-3.7314072078020566E-2</v>
      </c>
      <c r="H450" s="2">
        <f>_xlfn.IFNA(Table1[[#This Row],[annual_net_earnings_raw]], 0)</f>
        <v>14085</v>
      </c>
      <c r="I450" s="11"/>
    </row>
    <row r="451" spans="1:9" x14ac:dyDescent="0.25">
      <c r="A451" t="s">
        <v>42</v>
      </c>
      <c r="B451" t="s">
        <v>9</v>
      </c>
      <c r="C451">
        <v>85.1</v>
      </c>
      <c r="D451" s="3">
        <f>(100-Table1[[#This Row],[price_level_index]])/100</f>
        <v>0.14900000000000005</v>
      </c>
      <c r="E451" s="2">
        <v>14072</v>
      </c>
      <c r="F451" s="9">
        <f>Table1[[#This Row],[annual_net_earnings_raw]]+(Table1[[#This Row],[annual_net_earnings_raw]]*Table1[[#This Row],[price_level_index_mean_deviance]])</f>
        <v>16168.728000000001</v>
      </c>
      <c r="G451" s="11">
        <f>IF(Table1[[#This Row],[date]]&lt;B450,"",(Table1[[#This Row],[european_earnings_index_raw]]-F450)/F450)</f>
        <v>-9.2296769613062907E-4</v>
      </c>
      <c r="H451" s="2">
        <f>_xlfn.IFNA(Table1[[#This Row],[annual_net_earnings_raw]], 0)</f>
        <v>14072</v>
      </c>
      <c r="I451" s="11"/>
    </row>
    <row r="452" spans="1:9" x14ac:dyDescent="0.25">
      <c r="A452" t="s">
        <v>42</v>
      </c>
      <c r="B452" t="s">
        <v>10</v>
      </c>
      <c r="C452">
        <v>86.3</v>
      </c>
      <c r="D452" s="3">
        <f>(100-Table1[[#This Row],[price_level_index]])/100</f>
        <v>0.13700000000000004</v>
      </c>
      <c r="E452" s="2">
        <v>14039</v>
      </c>
      <c r="F452" s="9">
        <f>Table1[[#This Row],[annual_net_earnings_raw]]+(Table1[[#This Row],[annual_net_earnings_raw]]*Table1[[#This Row],[price_level_index_mean_deviance]])</f>
        <v>15962.343000000001</v>
      </c>
      <c r="G452" s="11">
        <f>IF(Table1[[#This Row],[date]]&lt;B451,"",(Table1[[#This Row],[european_earnings_index_raw]]-F451)/F451)</f>
        <v>-1.2764454940425753E-2</v>
      </c>
      <c r="H452" s="2">
        <f>_xlfn.IFNA(Table1[[#This Row],[annual_net_earnings_raw]], 0)</f>
        <v>14039</v>
      </c>
      <c r="I452" s="11"/>
    </row>
    <row r="453" spans="1:9" x14ac:dyDescent="0.25">
      <c r="A453" t="s">
        <v>42</v>
      </c>
      <c r="B453" t="s">
        <v>11</v>
      </c>
      <c r="C453">
        <v>86.7</v>
      </c>
      <c r="D453" s="3">
        <f>(100-Table1[[#This Row],[price_level_index]])/100</f>
        <v>0.13299999999999998</v>
      </c>
      <c r="E453" s="2">
        <v>14764</v>
      </c>
      <c r="F453" s="9">
        <f>Table1[[#This Row],[annual_net_earnings_raw]]+(Table1[[#This Row],[annual_net_earnings_raw]]*Table1[[#This Row],[price_level_index_mean_deviance]])</f>
        <v>16727.612000000001</v>
      </c>
      <c r="G453" s="11">
        <f>IF(Table1[[#This Row],[date]]&lt;B452,"",(Table1[[#This Row],[european_earnings_index_raw]]-F452)/F452)</f>
        <v>4.794214734014926E-2</v>
      </c>
      <c r="H453" s="2">
        <f>_xlfn.IFNA(Table1[[#This Row],[annual_net_earnings_raw]], 0)</f>
        <v>14764</v>
      </c>
      <c r="I453" s="11"/>
    </row>
    <row r="454" spans="1:9" x14ac:dyDescent="0.25">
      <c r="A454" t="s">
        <v>42</v>
      </c>
      <c r="B454" t="s">
        <v>12</v>
      </c>
      <c r="C454">
        <v>86.9</v>
      </c>
      <c r="D454" s="3">
        <f>(100-Table1[[#This Row],[price_level_index]])/100</f>
        <v>0.13099999999999995</v>
      </c>
      <c r="E454" s="2">
        <v>14187</v>
      </c>
      <c r="F454" s="9">
        <f>Table1[[#This Row],[annual_net_earnings_raw]]+(Table1[[#This Row],[annual_net_earnings_raw]]*Table1[[#This Row],[price_level_index_mean_deviance]])</f>
        <v>16045.496999999999</v>
      </c>
      <c r="G454" s="11">
        <f>IF(Table1[[#This Row],[date]]&lt;B453,"",(Table1[[#This Row],[european_earnings_index_raw]]-F453)/F453)</f>
        <v>-4.0777787050536654E-2</v>
      </c>
      <c r="H454" s="2">
        <f>_xlfn.IFNA(Table1[[#This Row],[annual_net_earnings_raw]], 0)</f>
        <v>14187</v>
      </c>
      <c r="I454" s="11"/>
    </row>
    <row r="455" spans="1:9" x14ac:dyDescent="0.25">
      <c r="A455" t="s">
        <v>42</v>
      </c>
      <c r="B455" t="s">
        <v>13</v>
      </c>
      <c r="C455">
        <v>85.4</v>
      </c>
      <c r="D455" s="3">
        <f>(100-Table1[[#This Row],[price_level_index]])/100</f>
        <v>0.14599999999999994</v>
      </c>
      <c r="E455" s="2">
        <v>15112</v>
      </c>
      <c r="F455" s="9">
        <f>Table1[[#This Row],[annual_net_earnings_raw]]+(Table1[[#This Row],[annual_net_earnings_raw]]*Table1[[#This Row],[price_level_index_mean_deviance]])</f>
        <v>17318.351999999999</v>
      </c>
      <c r="G455" s="11">
        <f>IF(Table1[[#This Row],[date]]&lt;B454,"",(Table1[[#This Row],[european_earnings_index_raw]]-F454)/F454)</f>
        <v>7.9327863761402939E-2</v>
      </c>
      <c r="H455" s="2">
        <f>_xlfn.IFNA(Table1[[#This Row],[annual_net_earnings_raw]], 0)</f>
        <v>15112</v>
      </c>
      <c r="I455" s="11"/>
    </row>
    <row r="456" spans="1:9" x14ac:dyDescent="0.25">
      <c r="A456" t="s">
        <v>42</v>
      </c>
      <c r="B456" t="s">
        <v>14</v>
      </c>
      <c r="C456">
        <v>83.5</v>
      </c>
      <c r="D456" s="3">
        <f>(100-Table1[[#This Row],[price_level_index]])/100</f>
        <v>0.16500000000000001</v>
      </c>
      <c r="E456" s="2">
        <v>14990</v>
      </c>
      <c r="F456" s="9">
        <f>Table1[[#This Row],[annual_net_earnings_raw]]+(Table1[[#This Row],[annual_net_earnings_raw]]*Table1[[#This Row],[price_level_index_mean_deviance]])</f>
        <v>17463.349999999999</v>
      </c>
      <c r="G456" s="11">
        <f>IF(Table1[[#This Row],[date]]&lt;B455,"",(Table1[[#This Row],[european_earnings_index_raw]]-F455)/F455)</f>
        <v>8.3725056518079554E-3</v>
      </c>
      <c r="H456" s="2">
        <f>_xlfn.IFNA(Table1[[#This Row],[annual_net_earnings_raw]], 0)</f>
        <v>14990</v>
      </c>
      <c r="I456" s="11"/>
    </row>
    <row r="457" spans="1:9" x14ac:dyDescent="0.25">
      <c r="A457" t="s">
        <v>42</v>
      </c>
      <c r="B457" t="s">
        <v>15</v>
      </c>
      <c r="C457">
        <v>83.7</v>
      </c>
      <c r="D457" s="3">
        <f>(100-Table1[[#This Row],[price_level_index]])/100</f>
        <v>0.16299999999999998</v>
      </c>
      <c r="E457" s="2">
        <v>14612</v>
      </c>
      <c r="F457" s="9">
        <f>Table1[[#This Row],[annual_net_earnings_raw]]+(Table1[[#This Row],[annual_net_earnings_raw]]*Table1[[#This Row],[price_level_index_mean_deviance]])</f>
        <v>16993.756000000001</v>
      </c>
      <c r="G457" s="11">
        <f>IF(Table1[[#This Row],[date]]&lt;B456,"",(Table1[[#This Row],[european_earnings_index_raw]]-F456)/F456)</f>
        <v>-2.689025874187927E-2</v>
      </c>
      <c r="H457" s="2">
        <f>_xlfn.IFNA(Table1[[#This Row],[annual_net_earnings_raw]], 0)</f>
        <v>14612</v>
      </c>
      <c r="I457" s="11"/>
    </row>
    <row r="458" spans="1:9" x14ac:dyDescent="0.25">
      <c r="A458" t="s">
        <v>42</v>
      </c>
      <c r="B458" t="s">
        <v>16</v>
      </c>
      <c r="C458">
        <v>83.7</v>
      </c>
      <c r="D458" s="3">
        <f>(100-Table1[[#This Row],[price_level_index]])/100</f>
        <v>0.16299999999999998</v>
      </c>
      <c r="E458" s="2">
        <v>14382</v>
      </c>
      <c r="F458" s="9">
        <f>Table1[[#This Row],[annual_net_earnings_raw]]+(Table1[[#This Row],[annual_net_earnings_raw]]*Table1[[#This Row],[price_level_index_mean_deviance]])</f>
        <v>16726.266</v>
      </c>
      <c r="G458" s="11">
        <f>IF(Table1[[#This Row],[date]]&lt;B457,"",(Table1[[#This Row],[european_earnings_index_raw]]-F457)/F457)</f>
        <v>-1.5740487270736476E-2</v>
      </c>
      <c r="H458" s="2">
        <f>_xlfn.IFNA(Table1[[#This Row],[annual_net_earnings_raw]], 0)</f>
        <v>14382</v>
      </c>
      <c r="I458" s="11"/>
    </row>
    <row r="459" spans="1:9" x14ac:dyDescent="0.25">
      <c r="A459" t="s">
        <v>42</v>
      </c>
      <c r="B459" t="s">
        <v>17</v>
      </c>
      <c r="C459">
        <v>85.1</v>
      </c>
      <c r="D459" s="3">
        <f>(100-Table1[[#This Row],[price_level_index]])/100</f>
        <v>0.14900000000000005</v>
      </c>
      <c r="E459" s="2">
        <v>14569</v>
      </c>
      <c r="F459" s="9">
        <f>Table1[[#This Row],[annual_net_earnings_raw]]+(Table1[[#This Row],[annual_net_earnings_raw]]*Table1[[#This Row],[price_level_index_mean_deviance]])</f>
        <v>16739.781000000003</v>
      </c>
      <c r="G459" s="11">
        <f>IF(Table1[[#This Row],[date]]&lt;B458,"",(Table1[[#This Row],[european_earnings_index_raw]]-F458)/F458)</f>
        <v>8.080105864634137E-4</v>
      </c>
      <c r="H459" s="2">
        <f>_xlfn.IFNA(Table1[[#This Row],[annual_net_earnings_raw]], 0)</f>
        <v>14569</v>
      </c>
      <c r="I459" s="11"/>
    </row>
    <row r="460" spans="1:9" x14ac:dyDescent="0.25">
      <c r="A460" t="s">
        <v>42</v>
      </c>
      <c r="B460" t="s">
        <v>18</v>
      </c>
      <c r="C460">
        <v>86.5</v>
      </c>
      <c r="D460" s="3">
        <f>(100-Table1[[#This Row],[price_level_index]])/100</f>
        <v>0.13500000000000001</v>
      </c>
      <c r="E460" s="2">
        <v>14658</v>
      </c>
      <c r="F460" s="9">
        <f>Table1[[#This Row],[annual_net_earnings_raw]]+(Table1[[#This Row],[annual_net_earnings_raw]]*Table1[[#This Row],[price_level_index_mean_deviance]])</f>
        <v>16636.830000000002</v>
      </c>
      <c r="G460" s="11">
        <f>IF(Table1[[#This Row],[date]]&lt;B459,"",(Table1[[#This Row],[european_earnings_index_raw]]-F459)/F459)</f>
        <v>-6.1500804580418896E-3</v>
      </c>
      <c r="H460" s="2">
        <f>_xlfn.IFNA(Table1[[#This Row],[annual_net_earnings_raw]], 0)</f>
        <v>14658</v>
      </c>
      <c r="I460" s="11"/>
    </row>
    <row r="461" spans="1:9" x14ac:dyDescent="0.25">
      <c r="A461" t="s">
        <v>42</v>
      </c>
      <c r="B461" t="s">
        <v>19</v>
      </c>
      <c r="C461">
        <v>85.9</v>
      </c>
      <c r="D461" s="3">
        <f>(100-Table1[[#This Row],[price_level_index]])/100</f>
        <v>0.14099999999999993</v>
      </c>
      <c r="E461" s="2">
        <v>15493</v>
      </c>
      <c r="F461" s="9">
        <f>Table1[[#This Row],[annual_net_earnings_raw]]+(Table1[[#This Row],[annual_net_earnings_raw]]*Table1[[#This Row],[price_level_index_mean_deviance]])</f>
        <v>17677.512999999999</v>
      </c>
      <c r="G461" s="11">
        <f>IF(Table1[[#This Row],[date]]&lt;B460,"",(Table1[[#This Row],[european_earnings_index_raw]]-F460)/F460)</f>
        <v>6.2552962313132801E-2</v>
      </c>
      <c r="H461" s="2">
        <f>_xlfn.IFNA(Table1[[#This Row],[annual_net_earnings_raw]], 0)</f>
        <v>15493</v>
      </c>
      <c r="I461" s="11"/>
    </row>
    <row r="462" spans="1:9" x14ac:dyDescent="0.25">
      <c r="A462" t="s">
        <v>42</v>
      </c>
      <c r="B462" t="s">
        <v>20</v>
      </c>
      <c r="C462">
        <v>86.8</v>
      </c>
      <c r="D462" s="3">
        <f>(100-Table1[[#This Row],[price_level_index]])/100</f>
        <v>0.13200000000000003</v>
      </c>
      <c r="E462" s="2">
        <v>16159</v>
      </c>
      <c r="F462" s="9">
        <f>Table1[[#This Row],[annual_net_earnings_raw]]+(Table1[[#This Row],[annual_net_earnings_raw]]*Table1[[#This Row],[price_level_index_mean_deviance]])</f>
        <v>18291.988000000001</v>
      </c>
      <c r="G462" s="11">
        <f>IF(Table1[[#This Row],[date]]&lt;B461,"",(Table1[[#This Row],[european_earnings_index_raw]]-F461)/F461)</f>
        <v>3.4760262939702108E-2</v>
      </c>
      <c r="H462" s="2">
        <f>_xlfn.IFNA(Table1[[#This Row],[annual_net_earnings_raw]], 0)</f>
        <v>16159</v>
      </c>
      <c r="I462" s="11"/>
    </row>
    <row r="463" spans="1:9" x14ac:dyDescent="0.25">
      <c r="A463" t="s">
        <v>42</v>
      </c>
      <c r="B463" t="s">
        <v>21</v>
      </c>
      <c r="C463">
        <v>88.1</v>
      </c>
      <c r="D463" s="3">
        <f>(100-Table1[[#This Row],[price_level_index]])/100</f>
        <v>0.11900000000000005</v>
      </c>
      <c r="E463" s="2">
        <v>15938</v>
      </c>
      <c r="F463" s="9">
        <f>Table1[[#This Row],[annual_net_earnings_raw]]+(Table1[[#This Row],[annual_net_earnings_raw]]*Table1[[#This Row],[price_level_index_mean_deviance]])</f>
        <v>17834.621999999999</v>
      </c>
      <c r="G463" s="11">
        <f>IF(Table1[[#This Row],[date]]&lt;B462,"",(Table1[[#This Row],[european_earnings_index_raw]]-F462)/F462)</f>
        <v>-2.5003624537693867E-2</v>
      </c>
      <c r="H463" s="2">
        <f>_xlfn.IFNA(Table1[[#This Row],[annual_net_earnings_raw]], 0)</f>
        <v>15938</v>
      </c>
      <c r="I463" s="11"/>
    </row>
    <row r="464" spans="1:9" x14ac:dyDescent="0.25">
      <c r="A464" t="s">
        <v>43</v>
      </c>
      <c r="B464" t="s">
        <v>1</v>
      </c>
      <c r="C464">
        <v>37.5</v>
      </c>
      <c r="D464" s="3">
        <f>(100-Table1[[#This Row],[price_level_index]])/100</f>
        <v>0.625</v>
      </c>
      <c r="E464" s="2">
        <v>0</v>
      </c>
      <c r="F464" s="9">
        <f>Table1[[#This Row],[annual_net_earnings_raw]]+(Table1[[#This Row],[annual_net_earnings_raw]]*Table1[[#This Row],[price_level_index_mean_deviance]])</f>
        <v>0</v>
      </c>
      <c r="G464" s="11" t="str">
        <f>IF(Table1[[#This Row],[date]]&lt;B463,"",(Table1[[#This Row],[european_earnings_index_raw]]-F463)/F463)</f>
        <v/>
      </c>
      <c r="H464" s="2">
        <f>_xlfn.IFNA(Table1[[#This Row],[annual_net_earnings_raw]], 0)</f>
        <v>0</v>
      </c>
      <c r="I464" s="11"/>
    </row>
    <row r="465" spans="1:9" x14ac:dyDescent="0.25">
      <c r="A465" t="s">
        <v>43</v>
      </c>
      <c r="B465" t="s">
        <v>2</v>
      </c>
      <c r="C465">
        <v>37.1</v>
      </c>
      <c r="D465" s="3">
        <f>(100-Table1[[#This Row],[price_level_index]])/100</f>
        <v>0.629</v>
      </c>
      <c r="E465" s="2">
        <v>0</v>
      </c>
      <c r="F465" s="9">
        <f>Table1[[#This Row],[annual_net_earnings_raw]]+(Table1[[#This Row],[annual_net_earnings_raw]]*Table1[[#This Row],[price_level_index_mean_deviance]])</f>
        <v>0</v>
      </c>
      <c r="G465" s="11" t="e">
        <f>IF(Table1[[#This Row],[date]]&lt;B464,"",(Table1[[#This Row],[european_earnings_index_raw]]-F464)/F464)</f>
        <v>#DIV/0!</v>
      </c>
      <c r="H465" s="2">
        <f>_xlfn.IFNA(Table1[[#This Row],[annual_net_earnings_raw]], 0)</f>
        <v>0</v>
      </c>
      <c r="I465" s="11"/>
    </row>
    <row r="466" spans="1:9" x14ac:dyDescent="0.25">
      <c r="A466" t="s">
        <v>43</v>
      </c>
      <c r="B466" t="s">
        <v>3</v>
      </c>
      <c r="C466">
        <v>37.200000000000003</v>
      </c>
      <c r="D466" s="3">
        <f>(100-Table1[[#This Row],[price_level_index]])/100</f>
        <v>0.628</v>
      </c>
      <c r="E466" s="2">
        <v>0</v>
      </c>
      <c r="F466" s="9">
        <f>Table1[[#This Row],[annual_net_earnings_raw]]+(Table1[[#This Row],[annual_net_earnings_raw]]*Table1[[#This Row],[price_level_index_mean_deviance]])</f>
        <v>0</v>
      </c>
      <c r="G466" s="11" t="e">
        <f>IF(Table1[[#This Row],[date]]&lt;B465,"",(Table1[[#This Row],[european_earnings_index_raw]]-F465)/F465)</f>
        <v>#DIV/0!</v>
      </c>
      <c r="H466" s="2">
        <f>_xlfn.IFNA(Table1[[#This Row],[annual_net_earnings_raw]], 0)</f>
        <v>0</v>
      </c>
      <c r="I466" s="11"/>
    </row>
    <row r="467" spans="1:9" x14ac:dyDescent="0.25">
      <c r="A467" t="s">
        <v>43</v>
      </c>
      <c r="B467" t="s">
        <v>4</v>
      </c>
      <c r="C467">
        <v>37.299999999999997</v>
      </c>
      <c r="D467" s="3">
        <f>(100-Table1[[#This Row],[price_level_index]])/100</f>
        <v>0.627</v>
      </c>
      <c r="E467" s="2">
        <v>0</v>
      </c>
      <c r="F467" s="9">
        <f>Table1[[#This Row],[annual_net_earnings_raw]]+(Table1[[#This Row],[annual_net_earnings_raw]]*Table1[[#This Row],[price_level_index_mean_deviance]])</f>
        <v>0</v>
      </c>
      <c r="G467" s="11" t="e">
        <f>IF(Table1[[#This Row],[date]]&lt;B466,"",(Table1[[#This Row],[european_earnings_index_raw]]-F466)/F466)</f>
        <v>#DIV/0!</v>
      </c>
      <c r="H467" s="2">
        <f>_xlfn.IFNA(Table1[[#This Row],[annual_net_earnings_raw]], 0)</f>
        <v>0</v>
      </c>
      <c r="I467" s="11"/>
    </row>
    <row r="468" spans="1:9" x14ac:dyDescent="0.25">
      <c r="A468" t="s">
        <v>43</v>
      </c>
      <c r="B468" t="s">
        <v>5</v>
      </c>
      <c r="C468">
        <v>37.700000000000003</v>
      </c>
      <c r="D468" s="3">
        <f>(100-Table1[[#This Row],[price_level_index]])/100</f>
        <v>0.623</v>
      </c>
      <c r="E468" s="2">
        <v>0</v>
      </c>
      <c r="F468" s="9">
        <f>Table1[[#This Row],[annual_net_earnings_raw]]+(Table1[[#This Row],[annual_net_earnings_raw]]*Table1[[#This Row],[price_level_index_mean_deviance]])</f>
        <v>0</v>
      </c>
      <c r="G468" s="11" t="e">
        <f>IF(Table1[[#This Row],[date]]&lt;B467,"",(Table1[[#This Row],[european_earnings_index_raw]]-F467)/F467)</f>
        <v>#DIV/0!</v>
      </c>
      <c r="H468" s="2">
        <f>_xlfn.IFNA(Table1[[#This Row],[annual_net_earnings_raw]], 0)</f>
        <v>0</v>
      </c>
      <c r="I468" s="11"/>
    </row>
    <row r="469" spans="1:9" x14ac:dyDescent="0.25">
      <c r="A469" t="s">
        <v>43</v>
      </c>
      <c r="B469" t="s">
        <v>6</v>
      </c>
      <c r="C469">
        <v>47.7</v>
      </c>
      <c r="D469" s="3">
        <f>(100-Table1[[#This Row],[price_level_index]])/100</f>
        <v>0.52300000000000002</v>
      </c>
      <c r="E469" s="2">
        <v>0</v>
      </c>
      <c r="F469" s="9">
        <f>Table1[[#This Row],[annual_net_earnings_raw]]+(Table1[[#This Row],[annual_net_earnings_raw]]*Table1[[#This Row],[price_level_index_mean_deviance]])</f>
        <v>0</v>
      </c>
      <c r="G469" s="11" t="e">
        <f>IF(Table1[[#This Row],[date]]&lt;B468,"",(Table1[[#This Row],[european_earnings_index_raw]]-F468)/F468)</f>
        <v>#DIV/0!</v>
      </c>
      <c r="H469" s="2">
        <f>_xlfn.IFNA(Table1[[#This Row],[annual_net_earnings_raw]], 0)</f>
        <v>0</v>
      </c>
      <c r="I469" s="11"/>
    </row>
    <row r="470" spans="1:9" x14ac:dyDescent="0.25">
      <c r="A470" t="s">
        <v>43</v>
      </c>
      <c r="B470" t="s">
        <v>7</v>
      </c>
      <c r="C470">
        <v>51</v>
      </c>
      <c r="D470" s="3">
        <f>(100-Table1[[#This Row],[price_level_index]])/100</f>
        <v>0.49</v>
      </c>
      <c r="E470" s="2">
        <v>0</v>
      </c>
      <c r="F470" s="9">
        <f>Table1[[#This Row],[annual_net_earnings_raw]]+(Table1[[#This Row],[annual_net_earnings_raw]]*Table1[[#This Row],[price_level_index_mean_deviance]])</f>
        <v>0</v>
      </c>
      <c r="G470" s="11" t="e">
        <f>IF(Table1[[#This Row],[date]]&lt;B469,"",(Table1[[#This Row],[european_earnings_index_raw]]-F469)/F469)</f>
        <v>#DIV/0!</v>
      </c>
      <c r="H470" s="2">
        <f>_xlfn.IFNA(Table1[[#This Row],[annual_net_earnings_raw]], 0)</f>
        <v>0</v>
      </c>
      <c r="I470" s="11"/>
    </row>
    <row r="471" spans="1:9" x14ac:dyDescent="0.25">
      <c r="A471" t="s">
        <v>43</v>
      </c>
      <c r="B471" t="s">
        <v>8</v>
      </c>
      <c r="C471">
        <v>57</v>
      </c>
      <c r="D471" s="3">
        <f>(100-Table1[[#This Row],[price_level_index]])/100</f>
        <v>0.43</v>
      </c>
      <c r="E471" s="2">
        <v>0</v>
      </c>
      <c r="F471" s="9">
        <f>Table1[[#This Row],[annual_net_earnings_raw]]+(Table1[[#This Row],[annual_net_earnings_raw]]*Table1[[#This Row],[price_level_index_mean_deviance]])</f>
        <v>0</v>
      </c>
      <c r="G471" s="11" t="e">
        <f>IF(Table1[[#This Row],[date]]&lt;B470,"",(Table1[[#This Row],[european_earnings_index_raw]]-F470)/F470)</f>
        <v>#DIV/0!</v>
      </c>
      <c r="H471" s="2">
        <f>_xlfn.IFNA(Table1[[#This Row],[annual_net_earnings_raw]], 0)</f>
        <v>0</v>
      </c>
      <c r="I471" s="11"/>
    </row>
    <row r="472" spans="1:9" x14ac:dyDescent="0.25">
      <c r="A472" t="s">
        <v>43</v>
      </c>
      <c r="B472" t="s">
        <v>9</v>
      </c>
      <c r="C472">
        <v>55.1</v>
      </c>
      <c r="D472" s="3">
        <f>(100-Table1[[#This Row],[price_level_index]])/100</f>
        <v>0.44900000000000001</v>
      </c>
      <c r="E472" s="2">
        <v>6531</v>
      </c>
      <c r="F472" s="9">
        <f>Table1[[#This Row],[annual_net_earnings_raw]]+(Table1[[#This Row],[annual_net_earnings_raw]]*Table1[[#This Row],[price_level_index_mean_deviance]])</f>
        <v>9463.4189999999999</v>
      </c>
      <c r="G472" s="11" t="e">
        <f>IF(Table1[[#This Row],[date]]&lt;B471,"",(Table1[[#This Row],[european_earnings_index_raw]]-F471)/F471)</f>
        <v>#DIV/0!</v>
      </c>
      <c r="H472" s="2">
        <f>_xlfn.IFNA(Table1[[#This Row],[annual_net_earnings_raw]], 0)</f>
        <v>6531</v>
      </c>
      <c r="I472" s="11"/>
    </row>
    <row r="473" spans="1:9" x14ac:dyDescent="0.25">
      <c r="A473" t="s">
        <v>43</v>
      </c>
      <c r="B473" t="s">
        <v>10</v>
      </c>
      <c r="C473">
        <v>49.7</v>
      </c>
      <c r="D473" s="3">
        <f>(100-Table1[[#This Row],[price_level_index]])/100</f>
        <v>0.503</v>
      </c>
      <c r="E473" s="2">
        <v>6517</v>
      </c>
      <c r="F473" s="9">
        <f>Table1[[#This Row],[annual_net_earnings_raw]]+(Table1[[#This Row],[annual_net_earnings_raw]]*Table1[[#This Row],[price_level_index_mean_deviance]])</f>
        <v>9795.0509999999995</v>
      </c>
      <c r="G473" s="11">
        <f>IF(Table1[[#This Row],[date]]&lt;B472,"",(Table1[[#This Row],[european_earnings_index_raw]]-F472)/F472)</f>
        <v>3.5043571461857458E-2</v>
      </c>
      <c r="H473" s="2">
        <f>_xlfn.IFNA(Table1[[#This Row],[annual_net_earnings_raw]], 0)</f>
        <v>6517</v>
      </c>
      <c r="I473" s="11"/>
    </row>
    <row r="474" spans="1:9" x14ac:dyDescent="0.25">
      <c r="A474" t="s">
        <v>43</v>
      </c>
      <c r="B474" t="s">
        <v>11</v>
      </c>
      <c r="C474">
        <v>47.9</v>
      </c>
      <c r="D474" s="3">
        <f>(100-Table1[[#This Row],[price_level_index]])/100</f>
        <v>0.52100000000000002</v>
      </c>
      <c r="E474" s="2">
        <v>7078</v>
      </c>
      <c r="F474" s="9">
        <f>Table1[[#This Row],[annual_net_earnings_raw]]+(Table1[[#This Row],[annual_net_earnings_raw]]*Table1[[#This Row],[price_level_index_mean_deviance]])</f>
        <v>10765.637999999999</v>
      </c>
      <c r="G474" s="11">
        <f>IF(Table1[[#This Row],[date]]&lt;B473,"",(Table1[[#This Row],[european_earnings_index_raw]]-F473)/F473)</f>
        <v>9.9089530008572652E-2</v>
      </c>
      <c r="H474" s="2">
        <f>_xlfn.IFNA(Table1[[#This Row],[annual_net_earnings_raw]], 0)</f>
        <v>7078</v>
      </c>
      <c r="I474" s="11"/>
    </row>
    <row r="475" spans="1:9" x14ac:dyDescent="0.25">
      <c r="A475" t="s">
        <v>43</v>
      </c>
      <c r="B475" t="s">
        <v>12</v>
      </c>
      <c r="C475">
        <v>48.6</v>
      </c>
      <c r="D475" s="3">
        <f>(100-Table1[[#This Row],[price_level_index]])/100</f>
        <v>0.51400000000000001</v>
      </c>
      <c r="E475" s="2">
        <v>7414</v>
      </c>
      <c r="F475" s="9">
        <f>Table1[[#This Row],[annual_net_earnings_raw]]+(Table1[[#This Row],[annual_net_earnings_raw]]*Table1[[#This Row],[price_level_index_mean_deviance]])</f>
        <v>11224.796</v>
      </c>
      <c r="G475" s="11">
        <f>IF(Table1[[#This Row],[date]]&lt;B474,"",(Table1[[#This Row],[european_earnings_index_raw]]-F474)/F474)</f>
        <v>4.2650328758964524E-2</v>
      </c>
      <c r="H475" s="2">
        <f>_xlfn.IFNA(Table1[[#This Row],[annual_net_earnings_raw]], 0)</f>
        <v>7414</v>
      </c>
      <c r="I475" s="11"/>
    </row>
    <row r="476" spans="1:9" x14ac:dyDescent="0.25">
      <c r="A476" t="s">
        <v>43</v>
      </c>
      <c r="B476" t="s">
        <v>13</v>
      </c>
      <c r="C476">
        <v>47.1</v>
      </c>
      <c r="D476" s="3">
        <f>(100-Table1[[#This Row],[price_level_index]])/100</f>
        <v>0.52900000000000003</v>
      </c>
      <c r="E476" s="2">
        <v>7543</v>
      </c>
      <c r="F476" s="9">
        <f>Table1[[#This Row],[annual_net_earnings_raw]]+(Table1[[#This Row],[annual_net_earnings_raw]]*Table1[[#This Row],[price_level_index_mean_deviance]])</f>
        <v>11533.246999999999</v>
      </c>
      <c r="G476" s="11">
        <f>IF(Table1[[#This Row],[date]]&lt;B475,"",(Table1[[#This Row],[european_earnings_index_raw]]-F475)/F475)</f>
        <v>2.7479430361139669E-2</v>
      </c>
      <c r="H476" s="2">
        <f>_xlfn.IFNA(Table1[[#This Row],[annual_net_earnings_raw]], 0)</f>
        <v>7543</v>
      </c>
      <c r="I476" s="11"/>
    </row>
    <row r="477" spans="1:9" x14ac:dyDescent="0.25">
      <c r="A477" t="s">
        <v>43</v>
      </c>
      <c r="B477" t="s">
        <v>14</v>
      </c>
      <c r="C477">
        <v>49.2</v>
      </c>
      <c r="D477" s="3">
        <f>(100-Table1[[#This Row],[price_level_index]])/100</f>
        <v>0.50800000000000001</v>
      </c>
      <c r="E477" s="2">
        <v>7930</v>
      </c>
      <c r="F477" s="9">
        <f>Table1[[#This Row],[annual_net_earnings_raw]]+(Table1[[#This Row],[annual_net_earnings_raw]]*Table1[[#This Row],[price_level_index_mean_deviance]])</f>
        <v>11958.44</v>
      </c>
      <c r="G477" s="11">
        <f>IF(Table1[[#This Row],[date]]&lt;B476,"",(Table1[[#This Row],[european_earnings_index_raw]]-F476)/F476)</f>
        <v>3.6866721054357121E-2</v>
      </c>
      <c r="H477" s="2">
        <f>_xlfn.IFNA(Table1[[#This Row],[annual_net_earnings_raw]], 0)</f>
        <v>7930</v>
      </c>
      <c r="I477" s="11"/>
    </row>
    <row r="478" spans="1:9" x14ac:dyDescent="0.25">
      <c r="A478" t="s">
        <v>43</v>
      </c>
      <c r="B478" t="s">
        <v>15</v>
      </c>
      <c r="C478">
        <v>49.6</v>
      </c>
      <c r="D478" s="3">
        <f>(100-Table1[[#This Row],[price_level_index]])/100</f>
        <v>0.504</v>
      </c>
      <c r="E478" s="2">
        <v>8384</v>
      </c>
      <c r="F478" s="9">
        <f>Table1[[#This Row],[annual_net_earnings_raw]]+(Table1[[#This Row],[annual_net_earnings_raw]]*Table1[[#This Row],[price_level_index_mean_deviance]])</f>
        <v>12609.536</v>
      </c>
      <c r="G478" s="11">
        <f>IF(Table1[[#This Row],[date]]&lt;B477,"",(Table1[[#This Row],[european_earnings_index_raw]]-F477)/F477)</f>
        <v>5.4446566609022543E-2</v>
      </c>
      <c r="H478" s="2">
        <f>_xlfn.IFNA(Table1[[#This Row],[annual_net_earnings_raw]], 0)</f>
        <v>8384</v>
      </c>
      <c r="I478" s="11"/>
    </row>
    <row r="479" spans="1:9" x14ac:dyDescent="0.25">
      <c r="A479" t="s">
        <v>43</v>
      </c>
      <c r="B479" t="s">
        <v>16</v>
      </c>
      <c r="C479">
        <v>50.2</v>
      </c>
      <c r="D479" s="3">
        <f>(100-Table1[[#This Row],[price_level_index]])/100</f>
        <v>0.498</v>
      </c>
      <c r="E479" s="2">
        <v>9279</v>
      </c>
      <c r="F479" s="9">
        <f>Table1[[#This Row],[annual_net_earnings_raw]]+(Table1[[#This Row],[annual_net_earnings_raw]]*Table1[[#This Row],[price_level_index_mean_deviance]])</f>
        <v>13899.941999999999</v>
      </c>
      <c r="G479" s="11">
        <f>IF(Table1[[#This Row],[date]]&lt;B478,"",(Table1[[#This Row],[european_earnings_index_raw]]-F478)/F478)</f>
        <v>0.10233572432800057</v>
      </c>
      <c r="H479" s="2">
        <f>_xlfn.IFNA(Table1[[#This Row],[annual_net_earnings_raw]], 0)</f>
        <v>9279</v>
      </c>
      <c r="I479" s="11"/>
    </row>
    <row r="480" spans="1:9" x14ac:dyDescent="0.25">
      <c r="A480" t="s">
        <v>43</v>
      </c>
      <c r="B480" t="s">
        <v>17</v>
      </c>
      <c r="C480">
        <v>48.8</v>
      </c>
      <c r="D480" s="3">
        <f>(100-Table1[[#This Row],[price_level_index]])/100</f>
        <v>0.51200000000000001</v>
      </c>
      <c r="E480" s="2">
        <v>10260</v>
      </c>
      <c r="F480" s="9">
        <f>Table1[[#This Row],[annual_net_earnings_raw]]+(Table1[[#This Row],[annual_net_earnings_raw]]*Table1[[#This Row],[price_level_index_mean_deviance]])</f>
        <v>15513.119999999999</v>
      </c>
      <c r="G480" s="11">
        <f>IF(Table1[[#This Row],[date]]&lt;B479,"",(Table1[[#This Row],[european_earnings_index_raw]]-F479)/F479)</f>
        <v>0.11605645548736822</v>
      </c>
      <c r="H480" s="2">
        <f>_xlfn.IFNA(Table1[[#This Row],[annual_net_earnings_raw]], 0)</f>
        <v>10260</v>
      </c>
      <c r="I480" s="11"/>
    </row>
    <row r="481" spans="1:9" x14ac:dyDescent="0.25">
      <c r="A481" t="s">
        <v>43</v>
      </c>
      <c r="B481" t="s">
        <v>18</v>
      </c>
      <c r="C481">
        <v>49.6</v>
      </c>
      <c r="D481" s="3">
        <f>(100-Table1[[#This Row],[price_level_index]])/100</f>
        <v>0.504</v>
      </c>
      <c r="E481" s="2">
        <v>11049</v>
      </c>
      <c r="F481" s="9">
        <f>Table1[[#This Row],[annual_net_earnings_raw]]+(Table1[[#This Row],[annual_net_earnings_raw]]*Table1[[#This Row],[price_level_index_mean_deviance]])</f>
        <v>16617.696</v>
      </c>
      <c r="G481" s="11">
        <f>IF(Table1[[#This Row],[date]]&lt;B480,"",(Table1[[#This Row],[european_earnings_index_raw]]-F480)/F480)</f>
        <v>7.120269810328296E-2</v>
      </c>
      <c r="H481" s="2">
        <f>_xlfn.IFNA(Table1[[#This Row],[annual_net_earnings_raw]], 0)</f>
        <v>11049</v>
      </c>
      <c r="I481" s="11"/>
    </row>
    <row r="482" spans="1:9" x14ac:dyDescent="0.25">
      <c r="A482" t="s">
        <v>43</v>
      </c>
      <c r="B482" t="s">
        <v>19</v>
      </c>
      <c r="C482">
        <v>50.5</v>
      </c>
      <c r="D482" s="3">
        <f>(100-Table1[[#This Row],[price_level_index]])/100</f>
        <v>0.495</v>
      </c>
      <c r="E482" s="2">
        <v>11963</v>
      </c>
      <c r="F482" s="9">
        <f>Table1[[#This Row],[annual_net_earnings_raw]]+(Table1[[#This Row],[annual_net_earnings_raw]]*Table1[[#This Row],[price_level_index_mean_deviance]])</f>
        <v>17884.685000000001</v>
      </c>
      <c r="G482" s="11">
        <f>IF(Table1[[#This Row],[date]]&lt;B481,"",(Table1[[#This Row],[european_earnings_index_raw]]-F481)/F481)</f>
        <v>7.6243361293888243E-2</v>
      </c>
      <c r="H482" s="2">
        <f>_xlfn.IFNA(Table1[[#This Row],[annual_net_earnings_raw]], 0)</f>
        <v>11963</v>
      </c>
      <c r="I482" s="11"/>
    </row>
    <row r="483" spans="1:9" x14ac:dyDescent="0.25">
      <c r="A483" t="s">
        <v>43</v>
      </c>
      <c r="B483" t="s">
        <v>20</v>
      </c>
      <c r="C483">
        <v>50.4</v>
      </c>
      <c r="D483" s="3">
        <f>(100-Table1[[#This Row],[price_level_index]])/100</f>
        <v>0.496</v>
      </c>
      <c r="E483" s="2">
        <v>13027</v>
      </c>
      <c r="F483" s="9">
        <f>Table1[[#This Row],[annual_net_earnings_raw]]+(Table1[[#This Row],[annual_net_earnings_raw]]*Table1[[#This Row],[price_level_index_mean_deviance]])</f>
        <v>19488.392</v>
      </c>
      <c r="G483" s="11">
        <f>IF(Table1[[#This Row],[date]]&lt;B482,"",(Table1[[#This Row],[european_earnings_index_raw]]-F482)/F482)</f>
        <v>8.9669289674377733E-2</v>
      </c>
      <c r="H483" s="2">
        <f>_xlfn.IFNA(Table1[[#This Row],[annual_net_earnings_raw]], 0)</f>
        <v>13027</v>
      </c>
      <c r="I483" s="11"/>
    </row>
    <row r="484" spans="1:9" x14ac:dyDescent="0.25">
      <c r="A484" t="s">
        <v>43</v>
      </c>
      <c r="B484" t="s">
        <v>21</v>
      </c>
      <c r="C484">
        <v>49.5</v>
      </c>
      <c r="D484" s="3">
        <f>(100-Table1[[#This Row],[price_level_index]])/100</f>
        <v>0.505</v>
      </c>
      <c r="E484" s="2">
        <v>13771</v>
      </c>
      <c r="F484" s="9">
        <f>Table1[[#This Row],[annual_net_earnings_raw]]+(Table1[[#This Row],[annual_net_earnings_raw]]*Table1[[#This Row],[price_level_index_mean_deviance]])</f>
        <v>20725.355</v>
      </c>
      <c r="G484" s="11">
        <f>IF(Table1[[#This Row],[date]]&lt;B483,"",(Table1[[#This Row],[european_earnings_index_raw]]-F483)/F483)</f>
        <v>6.3471783613547994E-2</v>
      </c>
      <c r="H484" s="2">
        <f>_xlfn.IFNA(Table1[[#This Row],[annual_net_earnings_raw]], 0)</f>
        <v>13771</v>
      </c>
      <c r="I484" s="11"/>
    </row>
    <row r="485" spans="1:9" x14ac:dyDescent="0.25">
      <c r="A485" t="s">
        <v>44</v>
      </c>
      <c r="B485" t="s">
        <v>1</v>
      </c>
      <c r="C485">
        <v>40.4</v>
      </c>
      <c r="D485" s="3">
        <f>(100-Table1[[#This Row],[price_level_index]])/100</f>
        <v>0.59599999999999997</v>
      </c>
      <c r="E485" s="2">
        <v>9055</v>
      </c>
      <c r="F485" s="9">
        <f>Table1[[#This Row],[annual_net_earnings_raw]]+(Table1[[#This Row],[annual_net_earnings_raw]]*Table1[[#This Row],[price_level_index_mean_deviance]])</f>
        <v>14451.779999999999</v>
      </c>
      <c r="G485" s="11" t="str">
        <f>IF(Table1[[#This Row],[date]]&lt;B484,"",(Table1[[#This Row],[european_earnings_index_raw]]-F484)/F484)</f>
        <v/>
      </c>
      <c r="H485" s="2">
        <f>_xlfn.IFNA(Table1[[#This Row],[annual_net_earnings_raw]], 0)</f>
        <v>9055</v>
      </c>
      <c r="I485" s="11"/>
    </row>
    <row r="486" spans="1:9" x14ac:dyDescent="0.25">
      <c r="A486" t="s">
        <v>44</v>
      </c>
      <c r="B486" t="s">
        <v>2</v>
      </c>
      <c r="C486">
        <v>39.700000000000003</v>
      </c>
      <c r="D486" s="3">
        <f>(100-Table1[[#This Row],[price_level_index]])/100</f>
        <v>0.60299999999999998</v>
      </c>
      <c r="E486" s="2">
        <v>9613</v>
      </c>
      <c r="F486" s="9">
        <f>Table1[[#This Row],[annual_net_earnings_raw]]+(Table1[[#This Row],[annual_net_earnings_raw]]*Table1[[#This Row],[price_level_index_mean_deviance]])</f>
        <v>15409.638999999999</v>
      </c>
      <c r="G486" s="11">
        <f>IF(Table1[[#This Row],[date]]&lt;B485,"",(Table1[[#This Row],[european_earnings_index_raw]]-F485)/F485)</f>
        <v>6.6279655516483127E-2</v>
      </c>
      <c r="H486" s="2">
        <f>_xlfn.IFNA(Table1[[#This Row],[annual_net_earnings_raw]], 0)</f>
        <v>9613</v>
      </c>
      <c r="I486" s="11"/>
    </row>
    <row r="487" spans="1:9" x14ac:dyDescent="0.25">
      <c r="A487" t="s">
        <v>44</v>
      </c>
      <c r="B487" t="s">
        <v>3</v>
      </c>
      <c r="C487">
        <v>40.799999999999997</v>
      </c>
      <c r="D487" s="3">
        <f>(100-Table1[[#This Row],[price_level_index]])/100</f>
        <v>0.59200000000000008</v>
      </c>
      <c r="E487" s="2">
        <v>9794</v>
      </c>
      <c r="F487" s="9">
        <f>Table1[[#This Row],[annual_net_earnings_raw]]+(Table1[[#This Row],[annual_net_earnings_raw]]*Table1[[#This Row],[price_level_index_mean_deviance]])</f>
        <v>15592.048000000001</v>
      </c>
      <c r="G487" s="11">
        <f>IF(Table1[[#This Row],[date]]&lt;B486,"",(Table1[[#This Row],[european_earnings_index_raw]]-F486)/F486)</f>
        <v>1.1837331166551109E-2</v>
      </c>
      <c r="H487" s="2">
        <f>_xlfn.IFNA(Table1[[#This Row],[annual_net_earnings_raw]], 0)</f>
        <v>9794</v>
      </c>
      <c r="I487" s="11"/>
    </row>
    <row r="488" spans="1:9" x14ac:dyDescent="0.25">
      <c r="A488" t="s">
        <v>44</v>
      </c>
      <c r="B488" t="s">
        <v>4</v>
      </c>
      <c r="C488">
        <v>44.7</v>
      </c>
      <c r="D488" s="3">
        <f>(100-Table1[[#This Row],[price_level_index]])/100</f>
        <v>0.55299999999999994</v>
      </c>
      <c r="E488" s="2">
        <v>9352</v>
      </c>
      <c r="F488" s="9">
        <f>Table1[[#This Row],[annual_net_earnings_raw]]+(Table1[[#This Row],[annual_net_earnings_raw]]*Table1[[#This Row],[price_level_index_mean_deviance]])</f>
        <v>14523.655999999999</v>
      </c>
      <c r="G488" s="11">
        <f>IF(Table1[[#This Row],[date]]&lt;B487,"",(Table1[[#This Row],[european_earnings_index_raw]]-F487)/F487)</f>
        <v>-6.8521595110533365E-2</v>
      </c>
      <c r="H488" s="2">
        <f>_xlfn.IFNA(Table1[[#This Row],[annual_net_earnings_raw]], 0)</f>
        <v>9352</v>
      </c>
      <c r="I488" s="11"/>
    </row>
    <row r="489" spans="1:9" x14ac:dyDescent="0.25">
      <c r="A489" t="s">
        <v>44</v>
      </c>
      <c r="B489" t="s">
        <v>5</v>
      </c>
      <c r="C489">
        <v>49.1</v>
      </c>
      <c r="D489" s="3">
        <f>(100-Table1[[#This Row],[price_level_index]])/100</f>
        <v>0.50900000000000001</v>
      </c>
      <c r="E489" s="2">
        <v>9426</v>
      </c>
      <c r="F489" s="9">
        <f>Table1[[#This Row],[annual_net_earnings_raw]]+(Table1[[#This Row],[annual_net_earnings_raw]]*Table1[[#This Row],[price_level_index_mean_deviance]])</f>
        <v>14223.833999999999</v>
      </c>
      <c r="G489" s="11">
        <f>IF(Table1[[#This Row],[date]]&lt;B488,"",(Table1[[#This Row],[european_earnings_index_raw]]-F488)/F488)</f>
        <v>-2.0643700181276679E-2</v>
      </c>
      <c r="H489" s="2">
        <f>_xlfn.IFNA(Table1[[#This Row],[annual_net_earnings_raw]], 0)</f>
        <v>9426</v>
      </c>
      <c r="I489" s="11"/>
    </row>
    <row r="490" spans="1:9" x14ac:dyDescent="0.25">
      <c r="A490" t="s">
        <v>44</v>
      </c>
      <c r="B490" t="s">
        <v>6</v>
      </c>
      <c r="C490">
        <v>51.1</v>
      </c>
      <c r="D490" s="3">
        <f>(100-Table1[[#This Row],[price_level_index]])/100</f>
        <v>0.48899999999999999</v>
      </c>
      <c r="E490" s="2">
        <v>9951</v>
      </c>
      <c r="F490" s="9">
        <f>Table1[[#This Row],[annual_net_earnings_raw]]+(Table1[[#This Row],[annual_net_earnings_raw]]*Table1[[#This Row],[price_level_index_mean_deviance]])</f>
        <v>14817.039000000001</v>
      </c>
      <c r="G490" s="11">
        <f>IF(Table1[[#This Row],[date]]&lt;B489,"",(Table1[[#This Row],[european_earnings_index_raw]]-F489)/F489)</f>
        <v>4.1705000213022862E-2</v>
      </c>
      <c r="H490" s="2">
        <f>_xlfn.IFNA(Table1[[#This Row],[annual_net_earnings_raw]], 0)</f>
        <v>9951</v>
      </c>
      <c r="I490" s="11"/>
    </row>
    <row r="491" spans="1:9" x14ac:dyDescent="0.25">
      <c r="A491" t="s">
        <v>44</v>
      </c>
      <c r="B491" t="s">
        <v>7</v>
      </c>
      <c r="C491">
        <v>54.8</v>
      </c>
      <c r="D491" s="3">
        <f>(100-Table1[[#This Row],[price_level_index]])/100</f>
        <v>0.45200000000000001</v>
      </c>
      <c r="E491" s="2">
        <v>9981</v>
      </c>
      <c r="F491" s="9">
        <f>Table1[[#This Row],[annual_net_earnings_raw]]+(Table1[[#This Row],[annual_net_earnings_raw]]*Table1[[#This Row],[price_level_index_mean_deviance]])</f>
        <v>14492.412</v>
      </c>
      <c r="G491" s="11">
        <f>IF(Table1[[#This Row],[date]]&lt;B490,"",(Table1[[#This Row],[european_earnings_index_raw]]-F490)/F490)</f>
        <v>-2.1909033242066812E-2</v>
      </c>
      <c r="H491" s="2">
        <f>_xlfn.IFNA(Table1[[#This Row],[annual_net_earnings_raw]], 0)</f>
        <v>9981</v>
      </c>
      <c r="I491" s="11"/>
    </row>
    <row r="492" spans="1:9" x14ac:dyDescent="0.25">
      <c r="A492" t="s">
        <v>44</v>
      </c>
      <c r="B492" t="s">
        <v>8</v>
      </c>
      <c r="C492">
        <v>60.4</v>
      </c>
      <c r="D492" s="3">
        <f>(100-Table1[[#This Row],[price_level_index]])/100</f>
        <v>0.39600000000000002</v>
      </c>
      <c r="E492" s="2">
        <v>9635</v>
      </c>
      <c r="F492" s="9">
        <f>Table1[[#This Row],[annual_net_earnings_raw]]+(Table1[[#This Row],[annual_net_earnings_raw]]*Table1[[#This Row],[price_level_index_mean_deviance]])</f>
        <v>13450.46</v>
      </c>
      <c r="G492" s="11">
        <f>IF(Table1[[#This Row],[date]]&lt;B491,"",(Table1[[#This Row],[european_earnings_index_raw]]-F491)/F491)</f>
        <v>-7.1896382741534065E-2</v>
      </c>
      <c r="H492" s="2">
        <f>_xlfn.IFNA(Table1[[#This Row],[annual_net_earnings_raw]], 0)</f>
        <v>9635</v>
      </c>
      <c r="I492" s="11"/>
    </row>
    <row r="493" spans="1:9" x14ac:dyDescent="0.25">
      <c r="A493" t="s">
        <v>44</v>
      </c>
      <c r="B493" t="s">
        <v>9</v>
      </c>
      <c r="C493">
        <v>65</v>
      </c>
      <c r="D493" s="3">
        <f>(100-Table1[[#This Row],[price_level_index]])/100</f>
        <v>0.35</v>
      </c>
      <c r="E493" s="2">
        <v>9910</v>
      </c>
      <c r="F493" s="9">
        <f>Table1[[#This Row],[annual_net_earnings_raw]]+(Table1[[#This Row],[annual_net_earnings_raw]]*Table1[[#This Row],[price_level_index_mean_deviance]])</f>
        <v>13378.5</v>
      </c>
      <c r="G493" s="11">
        <f>IF(Table1[[#This Row],[date]]&lt;B492,"",(Table1[[#This Row],[european_earnings_index_raw]]-F492)/F492)</f>
        <v>-5.350002899529022E-3</v>
      </c>
      <c r="H493" s="2">
        <f>_xlfn.IFNA(Table1[[#This Row],[annual_net_earnings_raw]], 0)</f>
        <v>9910</v>
      </c>
      <c r="I493" s="11"/>
    </row>
    <row r="494" spans="1:9" x14ac:dyDescent="0.25">
      <c r="A494" t="s">
        <v>44</v>
      </c>
      <c r="B494" t="s">
        <v>10</v>
      </c>
      <c r="C494">
        <v>67.5</v>
      </c>
      <c r="D494" s="3">
        <f>(100-Table1[[#This Row],[price_level_index]])/100</f>
        <v>0.32500000000000001</v>
      </c>
      <c r="E494" s="2">
        <v>9881</v>
      </c>
      <c r="F494" s="9">
        <f>Table1[[#This Row],[annual_net_earnings_raw]]+(Table1[[#This Row],[annual_net_earnings_raw]]*Table1[[#This Row],[price_level_index_mean_deviance]])</f>
        <v>13092.325000000001</v>
      </c>
      <c r="G494" s="11">
        <f>IF(Table1[[#This Row],[date]]&lt;B493,"",(Table1[[#This Row],[european_earnings_index_raw]]-F493)/F493)</f>
        <v>-2.1390664125275575E-2</v>
      </c>
      <c r="H494" s="2">
        <f>_xlfn.IFNA(Table1[[#This Row],[annual_net_earnings_raw]], 0)</f>
        <v>9881</v>
      </c>
      <c r="I494" s="11"/>
    </row>
    <row r="495" spans="1:9" x14ac:dyDescent="0.25">
      <c r="A495" t="s">
        <v>44</v>
      </c>
      <c r="B495" t="s">
        <v>11</v>
      </c>
      <c r="C495">
        <v>63.8</v>
      </c>
      <c r="D495" s="3">
        <f>(100-Table1[[#This Row],[price_level_index]])/100</f>
        <v>0.36200000000000004</v>
      </c>
      <c r="E495" s="2">
        <v>10595</v>
      </c>
      <c r="F495" s="9">
        <f>Table1[[#This Row],[annual_net_earnings_raw]]+(Table1[[#This Row],[annual_net_earnings_raw]]*Table1[[#This Row],[price_level_index_mean_deviance]])</f>
        <v>14430.39</v>
      </c>
      <c r="G495" s="11">
        <f>IF(Table1[[#This Row],[date]]&lt;B494,"",(Table1[[#This Row],[european_earnings_index_raw]]-F494)/F494)</f>
        <v>0.10220224444474138</v>
      </c>
      <c r="H495" s="2">
        <f>_xlfn.IFNA(Table1[[#This Row],[annual_net_earnings_raw]], 0)</f>
        <v>10595</v>
      </c>
      <c r="I495" s="11"/>
    </row>
    <row r="496" spans="1:9" x14ac:dyDescent="0.25">
      <c r="A496" t="s">
        <v>44</v>
      </c>
      <c r="B496" t="s">
        <v>12</v>
      </c>
      <c r="C496">
        <v>64.7</v>
      </c>
      <c r="D496" s="3">
        <f>(100-Table1[[#This Row],[price_level_index]])/100</f>
        <v>0.35299999999999998</v>
      </c>
      <c r="E496" s="2">
        <v>10713</v>
      </c>
      <c r="F496" s="9">
        <f>Table1[[#This Row],[annual_net_earnings_raw]]+(Table1[[#This Row],[annual_net_earnings_raw]]*Table1[[#This Row],[price_level_index_mean_deviance]])</f>
        <v>14494.689</v>
      </c>
      <c r="G496" s="11">
        <f>IF(Table1[[#This Row],[date]]&lt;B495,"",(Table1[[#This Row],[european_earnings_index_raw]]-F495)/F495)</f>
        <v>4.4558047287703859E-3</v>
      </c>
      <c r="H496" s="2">
        <f>_xlfn.IFNA(Table1[[#This Row],[annual_net_earnings_raw]], 0)</f>
        <v>10713</v>
      </c>
      <c r="I496" s="11"/>
    </row>
    <row r="497" spans="1:9" x14ac:dyDescent="0.25">
      <c r="A497" t="s">
        <v>44</v>
      </c>
      <c r="B497" t="s">
        <v>13</v>
      </c>
      <c r="C497">
        <v>65.5</v>
      </c>
      <c r="D497" s="3">
        <f>(100-Table1[[#This Row],[price_level_index]])/100</f>
        <v>0.34499999999999997</v>
      </c>
      <c r="E497" s="2">
        <v>10843</v>
      </c>
      <c r="F497" s="9">
        <f>Table1[[#This Row],[annual_net_earnings_raw]]+(Table1[[#This Row],[annual_net_earnings_raw]]*Table1[[#This Row],[price_level_index_mean_deviance]])</f>
        <v>14583.834999999999</v>
      </c>
      <c r="G497" s="11">
        <f>IF(Table1[[#This Row],[date]]&lt;B496,"",(Table1[[#This Row],[european_earnings_index_raw]]-F496)/F496)</f>
        <v>6.1502526891055627E-3</v>
      </c>
      <c r="H497" s="2">
        <f>_xlfn.IFNA(Table1[[#This Row],[annual_net_earnings_raw]], 0)</f>
        <v>10843</v>
      </c>
      <c r="I497" s="11"/>
    </row>
    <row r="498" spans="1:9" x14ac:dyDescent="0.25">
      <c r="A498" t="s">
        <v>44</v>
      </c>
      <c r="B498" t="s">
        <v>14</v>
      </c>
      <c r="C498">
        <v>65.3</v>
      </c>
      <c r="D498" s="3">
        <f>(100-Table1[[#This Row],[price_level_index]])/100</f>
        <v>0.34700000000000003</v>
      </c>
      <c r="E498" s="2">
        <v>11240</v>
      </c>
      <c r="F498" s="9">
        <f>Table1[[#This Row],[annual_net_earnings_raw]]+(Table1[[#This Row],[annual_net_earnings_raw]]*Table1[[#This Row],[price_level_index_mean_deviance]])</f>
        <v>15140.28</v>
      </c>
      <c r="G498" s="11">
        <f>IF(Table1[[#This Row],[date]]&lt;B497,"",(Table1[[#This Row],[european_earnings_index_raw]]-F497)/F497)</f>
        <v>3.8154916042316821E-2</v>
      </c>
      <c r="H498" s="2">
        <f>_xlfn.IFNA(Table1[[#This Row],[annual_net_earnings_raw]], 0)</f>
        <v>11240</v>
      </c>
      <c r="I498" s="11"/>
    </row>
    <row r="499" spans="1:9" x14ac:dyDescent="0.25">
      <c r="A499" t="s">
        <v>44</v>
      </c>
      <c r="B499" t="s">
        <v>15</v>
      </c>
      <c r="C499">
        <v>66</v>
      </c>
      <c r="D499" s="3">
        <f>(100-Table1[[#This Row],[price_level_index]])/100</f>
        <v>0.34</v>
      </c>
      <c r="E499" s="2">
        <v>11703</v>
      </c>
      <c r="F499" s="9">
        <f>Table1[[#This Row],[annual_net_earnings_raw]]+(Table1[[#This Row],[annual_net_earnings_raw]]*Table1[[#This Row],[price_level_index_mean_deviance]])</f>
        <v>15682.02</v>
      </c>
      <c r="G499" s="11">
        <f>IF(Table1[[#This Row],[date]]&lt;B498,"",(Table1[[#This Row],[european_earnings_index_raw]]-F498)/F498)</f>
        <v>3.5781372603412867E-2</v>
      </c>
      <c r="H499" s="2">
        <f>_xlfn.IFNA(Table1[[#This Row],[annual_net_earnings_raw]], 0)</f>
        <v>11703</v>
      </c>
      <c r="I499" s="11"/>
    </row>
    <row r="500" spans="1:9" x14ac:dyDescent="0.25">
      <c r="A500" t="s">
        <v>44</v>
      </c>
      <c r="B500" t="s">
        <v>16</v>
      </c>
      <c r="C500">
        <v>66.2</v>
      </c>
      <c r="D500" s="3">
        <f>(100-Table1[[#This Row],[price_level_index]])/100</f>
        <v>0.33799999999999997</v>
      </c>
      <c r="E500" s="2">
        <v>11922</v>
      </c>
      <c r="F500" s="9">
        <f>Table1[[#This Row],[annual_net_earnings_raw]]+(Table1[[#This Row],[annual_net_earnings_raw]]*Table1[[#This Row],[price_level_index_mean_deviance]])</f>
        <v>15951.635999999999</v>
      </c>
      <c r="G500" s="11">
        <f>IF(Table1[[#This Row],[date]]&lt;B499,"",(Table1[[#This Row],[european_earnings_index_raw]]-F499)/F499)</f>
        <v>1.7192683085469739E-2</v>
      </c>
      <c r="H500" s="2">
        <f>_xlfn.IFNA(Table1[[#This Row],[annual_net_earnings_raw]], 0)</f>
        <v>11922</v>
      </c>
      <c r="I500" s="11"/>
    </row>
    <row r="501" spans="1:9" x14ac:dyDescent="0.25">
      <c r="A501" t="s">
        <v>44</v>
      </c>
      <c r="B501" t="s">
        <v>17</v>
      </c>
      <c r="C501">
        <v>72.3</v>
      </c>
      <c r="D501" s="3">
        <f>(100-Table1[[#This Row],[price_level_index]])/100</f>
        <v>0.27700000000000002</v>
      </c>
      <c r="E501" s="2">
        <v>11102</v>
      </c>
      <c r="F501" s="9">
        <f>Table1[[#This Row],[annual_net_earnings_raw]]+(Table1[[#This Row],[annual_net_earnings_raw]]*Table1[[#This Row],[price_level_index_mean_deviance]])</f>
        <v>14177.254000000001</v>
      </c>
      <c r="G501" s="11">
        <f>IF(Table1[[#This Row],[date]]&lt;B500,"",(Table1[[#This Row],[european_earnings_index_raw]]-F500)/F500)</f>
        <v>-0.11123511093156827</v>
      </c>
      <c r="H501" s="2">
        <f>_xlfn.IFNA(Table1[[#This Row],[annual_net_earnings_raw]], 0)</f>
        <v>11102</v>
      </c>
      <c r="I501" s="11"/>
    </row>
    <row r="502" spans="1:9" x14ac:dyDescent="0.25">
      <c r="A502" t="s">
        <v>44</v>
      </c>
      <c r="B502" t="s">
        <v>18</v>
      </c>
      <c r="C502">
        <v>75.7</v>
      </c>
      <c r="D502" s="3">
        <f>(100-Table1[[#This Row],[price_level_index]])/100</f>
        <v>0.24299999999999997</v>
      </c>
      <c r="E502" s="2">
        <v>10872</v>
      </c>
      <c r="F502" s="9">
        <f>Table1[[#This Row],[annual_net_earnings_raw]]+(Table1[[#This Row],[annual_net_earnings_raw]]*Table1[[#This Row],[price_level_index_mean_deviance]])</f>
        <v>13513.896000000001</v>
      </c>
      <c r="G502" s="11">
        <f>IF(Table1[[#This Row],[date]]&lt;B501,"",(Table1[[#This Row],[european_earnings_index_raw]]-F501)/F501)</f>
        <v>-4.6790302268690409E-2</v>
      </c>
      <c r="H502" s="2">
        <f>_xlfn.IFNA(Table1[[#This Row],[annual_net_earnings_raw]], 0)</f>
        <v>10872</v>
      </c>
      <c r="I502" s="11"/>
    </row>
    <row r="503" spans="1:9" x14ac:dyDescent="0.25">
      <c r="A503" t="s">
        <v>44</v>
      </c>
      <c r="B503" t="s">
        <v>19</v>
      </c>
      <c r="C503">
        <v>78.5</v>
      </c>
      <c r="D503" s="3">
        <f>(100-Table1[[#This Row],[price_level_index]])/100</f>
        <v>0.215</v>
      </c>
      <c r="E503" s="2">
        <v>11192</v>
      </c>
      <c r="F503" s="9">
        <f>Table1[[#This Row],[annual_net_earnings_raw]]+(Table1[[#This Row],[annual_net_earnings_raw]]*Table1[[#This Row],[price_level_index_mean_deviance]])</f>
        <v>13598.279999999999</v>
      </c>
      <c r="G503" s="11">
        <f>IF(Table1[[#This Row],[date]]&lt;B502,"",(Table1[[#This Row],[european_earnings_index_raw]]-F502)/F502)</f>
        <v>6.2442392630517648E-3</v>
      </c>
      <c r="H503" s="2">
        <f>_xlfn.IFNA(Table1[[#This Row],[annual_net_earnings_raw]], 0)</f>
        <v>11192</v>
      </c>
      <c r="I503" s="11"/>
    </row>
    <row r="504" spans="1:9" x14ac:dyDescent="0.25">
      <c r="A504" t="s">
        <v>44</v>
      </c>
      <c r="B504" t="s">
        <v>20</v>
      </c>
      <c r="C504">
        <v>78.900000000000006</v>
      </c>
      <c r="D504" s="3">
        <f>(100-Table1[[#This Row],[price_level_index]])/100</f>
        <v>0.21099999999999994</v>
      </c>
      <c r="E504" s="2">
        <v>11591</v>
      </c>
      <c r="F504" s="9">
        <f>Table1[[#This Row],[annual_net_earnings_raw]]+(Table1[[#This Row],[annual_net_earnings_raw]]*Table1[[#This Row],[price_level_index_mean_deviance]])</f>
        <v>14036.700999999999</v>
      </c>
      <c r="G504" s="11">
        <f>IF(Table1[[#This Row],[date]]&lt;B503,"",(Table1[[#This Row],[european_earnings_index_raw]]-F503)/F503)</f>
        <v>3.2240915762875917E-2</v>
      </c>
      <c r="H504" s="2">
        <f>_xlfn.IFNA(Table1[[#This Row],[annual_net_earnings_raw]], 0)</f>
        <v>11591</v>
      </c>
      <c r="I504" s="11"/>
    </row>
    <row r="505" spans="1:9" x14ac:dyDescent="0.25">
      <c r="A505" t="s">
        <v>44</v>
      </c>
      <c r="B505" t="s">
        <v>21</v>
      </c>
      <c r="C505">
        <v>80.599999999999994</v>
      </c>
      <c r="D505" s="3">
        <f>(100-Table1[[#This Row],[price_level_index]])/100</f>
        <v>0.19400000000000006</v>
      </c>
      <c r="E505" s="2">
        <v>11576</v>
      </c>
      <c r="F505" s="9">
        <f>Table1[[#This Row],[annual_net_earnings_raw]]+(Table1[[#This Row],[annual_net_earnings_raw]]*Table1[[#This Row],[price_level_index_mean_deviance]])</f>
        <v>13821.744000000001</v>
      </c>
      <c r="G505" s="11">
        <f>IF(Table1[[#This Row],[date]]&lt;B504,"",(Table1[[#This Row],[european_earnings_index_raw]]-F504)/F504)</f>
        <v>-1.5313925971636678E-2</v>
      </c>
      <c r="H505" s="2">
        <f>_xlfn.IFNA(Table1[[#This Row],[annual_net_earnings_raw]], 0)</f>
        <v>11576</v>
      </c>
      <c r="I505" s="11"/>
    </row>
    <row r="506" spans="1:9" x14ac:dyDescent="0.25">
      <c r="A506" t="s">
        <v>45</v>
      </c>
      <c r="B506" t="s">
        <v>1</v>
      </c>
      <c r="C506">
        <v>74.2</v>
      </c>
      <c r="D506" s="3">
        <f>(100-Table1[[#This Row],[price_level_index]])/100</f>
        <v>0.25799999999999995</v>
      </c>
      <c r="E506" s="2">
        <v>7452</v>
      </c>
      <c r="F506" s="9">
        <f>Table1[[#This Row],[annual_net_earnings_raw]]+(Table1[[#This Row],[annual_net_earnings_raw]]*Table1[[#This Row],[price_level_index_mean_deviance]])</f>
        <v>9374.616</v>
      </c>
      <c r="G506" s="11" t="str">
        <f>IF(Table1[[#This Row],[date]]&lt;B505,"",(Table1[[#This Row],[european_earnings_index_raw]]-F505)/F505)</f>
        <v/>
      </c>
      <c r="H506" s="2">
        <f>_xlfn.IFNA(Table1[[#This Row],[annual_net_earnings_raw]], 0)</f>
        <v>7452</v>
      </c>
      <c r="I506" s="11"/>
    </row>
    <row r="507" spans="1:9" x14ac:dyDescent="0.25">
      <c r="A507" t="s">
        <v>45</v>
      </c>
      <c r="B507" t="s">
        <v>2</v>
      </c>
      <c r="C507">
        <v>75.099999999999994</v>
      </c>
      <c r="D507" s="3">
        <f>(100-Table1[[#This Row],[price_level_index]])/100</f>
        <v>0.24900000000000005</v>
      </c>
      <c r="E507" s="2">
        <v>8206</v>
      </c>
      <c r="F507" s="9">
        <f>Table1[[#This Row],[annual_net_earnings_raw]]+(Table1[[#This Row],[annual_net_earnings_raw]]*Table1[[#This Row],[price_level_index_mean_deviance]])</f>
        <v>10249.294</v>
      </c>
      <c r="G507" s="11">
        <f>IF(Table1[[#This Row],[date]]&lt;B506,"",(Table1[[#This Row],[european_earnings_index_raw]]-F506)/F506)</f>
        <v>9.3302808349696661E-2</v>
      </c>
      <c r="H507" s="2">
        <f>_xlfn.IFNA(Table1[[#This Row],[annual_net_earnings_raw]], 0)</f>
        <v>8206</v>
      </c>
      <c r="I507" s="11"/>
    </row>
    <row r="508" spans="1:9" x14ac:dyDescent="0.25">
      <c r="A508" t="s">
        <v>45</v>
      </c>
      <c r="B508" t="s">
        <v>3</v>
      </c>
      <c r="C508">
        <v>76</v>
      </c>
      <c r="D508" s="3">
        <f>(100-Table1[[#This Row],[price_level_index]])/100</f>
        <v>0.24</v>
      </c>
      <c r="E508" s="2">
        <v>8866</v>
      </c>
      <c r="F508" s="9">
        <f>Table1[[#This Row],[annual_net_earnings_raw]]+(Table1[[#This Row],[annual_net_earnings_raw]]*Table1[[#This Row],[price_level_index_mean_deviance]])</f>
        <v>10993.84</v>
      </c>
      <c r="G508" s="11">
        <f>IF(Table1[[#This Row],[date]]&lt;B507,"",(Table1[[#This Row],[european_earnings_index_raw]]-F507)/F507)</f>
        <v>7.2643637698362476E-2</v>
      </c>
      <c r="H508" s="2">
        <f>_xlfn.IFNA(Table1[[#This Row],[annual_net_earnings_raw]], 0)</f>
        <v>8866</v>
      </c>
      <c r="I508" s="11"/>
    </row>
    <row r="509" spans="1:9" x14ac:dyDescent="0.25">
      <c r="A509" t="s">
        <v>45</v>
      </c>
      <c r="B509" t="s">
        <v>4</v>
      </c>
      <c r="C509">
        <v>76.5</v>
      </c>
      <c r="D509" s="3">
        <f>(100-Table1[[#This Row],[price_level_index]])/100</f>
        <v>0.23499999999999999</v>
      </c>
      <c r="E509" s="2">
        <v>9613</v>
      </c>
      <c r="F509" s="9">
        <f>Table1[[#This Row],[annual_net_earnings_raw]]+(Table1[[#This Row],[annual_net_earnings_raw]]*Table1[[#This Row],[price_level_index_mean_deviance]])</f>
        <v>11872.055</v>
      </c>
      <c r="G509" s="11">
        <f>IF(Table1[[#This Row],[date]]&lt;B508,"",(Table1[[#This Row],[european_earnings_index_raw]]-F508)/F508)</f>
        <v>7.9882461451139919E-2</v>
      </c>
      <c r="H509" s="2">
        <f>_xlfn.IFNA(Table1[[#This Row],[annual_net_earnings_raw]], 0)</f>
        <v>9613</v>
      </c>
      <c r="I509" s="11"/>
    </row>
    <row r="510" spans="1:9" x14ac:dyDescent="0.25">
      <c r="A510" t="s">
        <v>45</v>
      </c>
      <c r="B510" t="s">
        <v>5</v>
      </c>
      <c r="C510">
        <v>76.400000000000006</v>
      </c>
      <c r="D510" s="3">
        <f>(100-Table1[[#This Row],[price_level_index]])/100</f>
        <v>0.23599999999999993</v>
      </c>
      <c r="E510" s="2">
        <v>10284</v>
      </c>
      <c r="F510" s="9">
        <f>Table1[[#This Row],[annual_net_earnings_raw]]+(Table1[[#This Row],[annual_net_earnings_raw]]*Table1[[#This Row],[price_level_index_mean_deviance]])</f>
        <v>12711.023999999999</v>
      </c>
      <c r="G510" s="11">
        <f>IF(Table1[[#This Row],[date]]&lt;B509,"",(Table1[[#This Row],[european_earnings_index_raw]]-F509)/F509)</f>
        <v>7.0667546604189349E-2</v>
      </c>
      <c r="H510" s="2">
        <f>_xlfn.IFNA(Table1[[#This Row],[annual_net_earnings_raw]], 0)</f>
        <v>10284</v>
      </c>
      <c r="I510" s="11"/>
    </row>
    <row r="511" spans="1:9" x14ac:dyDescent="0.25">
      <c r="A511" t="s">
        <v>45</v>
      </c>
      <c r="B511" t="s">
        <v>6</v>
      </c>
      <c r="C511">
        <v>77.099999999999994</v>
      </c>
      <c r="D511" s="3">
        <f>(100-Table1[[#This Row],[price_level_index]])/100</f>
        <v>0.22900000000000006</v>
      </c>
      <c r="E511" s="2">
        <v>10813</v>
      </c>
      <c r="F511" s="9">
        <f>Table1[[#This Row],[annual_net_earnings_raw]]+(Table1[[#This Row],[annual_net_earnings_raw]]*Table1[[#This Row],[price_level_index_mean_deviance]])</f>
        <v>13289.177</v>
      </c>
      <c r="G511" s="11">
        <f>IF(Table1[[#This Row],[date]]&lt;B510,"",(Table1[[#This Row],[european_earnings_index_raw]]-F510)/F510)</f>
        <v>4.5484376396425677E-2</v>
      </c>
      <c r="H511" s="2">
        <f>_xlfn.IFNA(Table1[[#This Row],[annual_net_earnings_raw]], 0)</f>
        <v>10813</v>
      </c>
      <c r="I511" s="11"/>
    </row>
    <row r="512" spans="1:9" x14ac:dyDescent="0.25">
      <c r="A512" t="s">
        <v>45</v>
      </c>
      <c r="B512" t="s">
        <v>7</v>
      </c>
      <c r="C512">
        <v>78.2</v>
      </c>
      <c r="D512" s="3">
        <f>(100-Table1[[#This Row],[price_level_index]])/100</f>
        <v>0.21799999999999997</v>
      </c>
      <c r="E512" s="2">
        <v>11222</v>
      </c>
      <c r="F512" s="9">
        <f>Table1[[#This Row],[annual_net_earnings_raw]]+(Table1[[#This Row],[annual_net_earnings_raw]]*Table1[[#This Row],[price_level_index_mean_deviance]])</f>
        <v>13668.396000000001</v>
      </c>
      <c r="G512" s="11">
        <f>IF(Table1[[#This Row],[date]]&lt;B511,"",(Table1[[#This Row],[european_earnings_index_raw]]-F511)/F511)</f>
        <v>2.853592814664151E-2</v>
      </c>
      <c r="H512" s="2">
        <f>_xlfn.IFNA(Table1[[#This Row],[annual_net_earnings_raw]], 0)</f>
        <v>11222</v>
      </c>
      <c r="I512" s="11"/>
    </row>
    <row r="513" spans="1:9" x14ac:dyDescent="0.25">
      <c r="A513" t="s">
        <v>45</v>
      </c>
      <c r="B513" t="s">
        <v>8</v>
      </c>
      <c r="C513">
        <v>80.3</v>
      </c>
      <c r="D513" s="3">
        <f>(100-Table1[[#This Row],[price_level_index]])/100</f>
        <v>0.19700000000000004</v>
      </c>
      <c r="E513" s="2">
        <v>12038</v>
      </c>
      <c r="F513" s="9">
        <f>Table1[[#This Row],[annual_net_earnings_raw]]+(Table1[[#This Row],[annual_net_earnings_raw]]*Table1[[#This Row],[price_level_index_mean_deviance]])</f>
        <v>14409.486000000001</v>
      </c>
      <c r="G513" s="11">
        <f>IF(Table1[[#This Row],[date]]&lt;B512,"",(Table1[[#This Row],[european_earnings_index_raw]]-F512)/F512)</f>
        <v>5.4219236843884251E-2</v>
      </c>
      <c r="H513" s="2">
        <f>_xlfn.IFNA(Table1[[#This Row],[annual_net_earnings_raw]], 0)</f>
        <v>12038</v>
      </c>
      <c r="I513" s="11"/>
    </row>
    <row r="514" spans="1:9" x14ac:dyDescent="0.25">
      <c r="A514" t="s">
        <v>45</v>
      </c>
      <c r="B514" t="s">
        <v>9</v>
      </c>
      <c r="C514">
        <v>82.3</v>
      </c>
      <c r="D514" s="3">
        <f>(100-Table1[[#This Row],[price_level_index]])/100</f>
        <v>0.17700000000000002</v>
      </c>
      <c r="E514" s="2">
        <v>12722</v>
      </c>
      <c r="F514" s="9">
        <f>Table1[[#This Row],[annual_net_earnings_raw]]+(Table1[[#This Row],[annual_net_earnings_raw]]*Table1[[#This Row],[price_level_index_mean_deviance]])</f>
        <v>14973.794</v>
      </c>
      <c r="G514" s="11">
        <f>IF(Table1[[#This Row],[date]]&lt;B513,"",(Table1[[#This Row],[european_earnings_index_raw]]-F513)/F513)</f>
        <v>3.9162257418481068E-2</v>
      </c>
      <c r="H514" s="2">
        <f>_xlfn.IFNA(Table1[[#This Row],[annual_net_earnings_raw]], 0)</f>
        <v>12722</v>
      </c>
      <c r="I514" s="11"/>
    </row>
    <row r="515" spans="1:9" x14ac:dyDescent="0.25">
      <c r="A515" t="s">
        <v>45</v>
      </c>
      <c r="B515" t="s">
        <v>10</v>
      </c>
      <c r="C515">
        <v>86.5</v>
      </c>
      <c r="D515" s="3">
        <f>(100-Table1[[#This Row],[price_level_index]])/100</f>
        <v>0.13500000000000001</v>
      </c>
      <c r="E515" s="2">
        <v>12287</v>
      </c>
      <c r="F515" s="9">
        <f>Table1[[#This Row],[annual_net_earnings_raw]]+(Table1[[#This Row],[annual_net_earnings_raw]]*Table1[[#This Row],[price_level_index_mean_deviance]])</f>
        <v>13945.745000000001</v>
      </c>
      <c r="G515" s="11">
        <f>IF(Table1[[#This Row],[date]]&lt;B514,"",(Table1[[#This Row],[european_earnings_index_raw]]-F514)/F514)</f>
        <v>-6.8656547565700388E-2</v>
      </c>
      <c r="H515" s="2">
        <f>_xlfn.IFNA(Table1[[#This Row],[annual_net_earnings_raw]], 0)</f>
        <v>12287</v>
      </c>
      <c r="I515" s="11"/>
    </row>
    <row r="516" spans="1:9" x14ac:dyDescent="0.25">
      <c r="A516" t="s">
        <v>45</v>
      </c>
      <c r="B516" t="s">
        <v>11</v>
      </c>
      <c r="C516">
        <v>86</v>
      </c>
      <c r="D516" s="3">
        <f>(100-Table1[[#This Row],[price_level_index]])/100</f>
        <v>0.14000000000000001</v>
      </c>
      <c r="E516" s="2">
        <v>12973</v>
      </c>
      <c r="F516" s="9">
        <f>Table1[[#This Row],[annual_net_earnings_raw]]+(Table1[[#This Row],[annual_net_earnings_raw]]*Table1[[#This Row],[price_level_index_mean_deviance]])</f>
        <v>14789.220000000001</v>
      </c>
      <c r="G516" s="11">
        <f>IF(Table1[[#This Row],[date]]&lt;B515,"",(Table1[[#This Row],[european_earnings_index_raw]]-F515)/F515)</f>
        <v>6.0482605984836256E-2</v>
      </c>
      <c r="H516" s="2">
        <f>_xlfn.IFNA(Table1[[#This Row],[annual_net_earnings_raw]], 0)</f>
        <v>12973</v>
      </c>
      <c r="I516" s="11"/>
    </row>
    <row r="517" spans="1:9" x14ac:dyDescent="0.25">
      <c r="A517" t="s">
        <v>45</v>
      </c>
      <c r="B517" t="s">
        <v>12</v>
      </c>
      <c r="C517">
        <v>85.4</v>
      </c>
      <c r="D517" s="3">
        <f>(100-Table1[[#This Row],[price_level_index]])/100</f>
        <v>0.14599999999999994</v>
      </c>
      <c r="E517" s="2">
        <v>13441</v>
      </c>
      <c r="F517" s="9">
        <f>Table1[[#This Row],[annual_net_earnings_raw]]+(Table1[[#This Row],[annual_net_earnings_raw]]*Table1[[#This Row],[price_level_index_mean_deviance]])</f>
        <v>15403.385999999999</v>
      </c>
      <c r="G517" s="11">
        <f>IF(Table1[[#This Row],[date]]&lt;B516,"",(Table1[[#This Row],[european_earnings_index_raw]]-F516)/F516)</f>
        <v>4.1527950764137483E-2</v>
      </c>
      <c r="H517" s="2">
        <f>_xlfn.IFNA(Table1[[#This Row],[annual_net_earnings_raw]], 0)</f>
        <v>13441</v>
      </c>
      <c r="I517" s="11"/>
    </row>
    <row r="518" spans="1:9" x14ac:dyDescent="0.25">
      <c r="A518" t="s">
        <v>45</v>
      </c>
      <c r="B518" t="s">
        <v>13</v>
      </c>
      <c r="C518">
        <v>84.6</v>
      </c>
      <c r="D518" s="3">
        <f>(100-Table1[[#This Row],[price_level_index]])/100</f>
        <v>0.15400000000000005</v>
      </c>
      <c r="E518" s="2">
        <v>13681</v>
      </c>
      <c r="F518" s="9">
        <f>Table1[[#This Row],[annual_net_earnings_raw]]+(Table1[[#This Row],[annual_net_earnings_raw]]*Table1[[#This Row],[price_level_index_mean_deviance]])</f>
        <v>15787.874</v>
      </c>
      <c r="G518" s="11">
        <f>IF(Table1[[#This Row],[date]]&lt;B517,"",(Table1[[#This Row],[european_earnings_index_raw]]-F517)/F517)</f>
        <v>2.4961265010173816E-2</v>
      </c>
      <c r="H518" s="2">
        <f>_xlfn.IFNA(Table1[[#This Row],[annual_net_earnings_raw]], 0)</f>
        <v>13681</v>
      </c>
      <c r="I518" s="11"/>
    </row>
    <row r="519" spans="1:9" x14ac:dyDescent="0.25">
      <c r="A519" t="s">
        <v>45</v>
      </c>
      <c r="B519" t="s">
        <v>14</v>
      </c>
      <c r="C519">
        <v>84.5</v>
      </c>
      <c r="D519" s="3">
        <f>(100-Table1[[#This Row],[price_level_index]])/100</f>
        <v>0.155</v>
      </c>
      <c r="E519" s="2">
        <v>13834</v>
      </c>
      <c r="F519" s="9">
        <f>Table1[[#This Row],[annual_net_earnings_raw]]+(Table1[[#This Row],[annual_net_earnings_raw]]*Table1[[#This Row],[price_level_index_mean_deviance]])</f>
        <v>15978.27</v>
      </c>
      <c r="G519" s="11">
        <f>IF(Table1[[#This Row],[date]]&lt;B518,"",(Table1[[#This Row],[european_earnings_index_raw]]-F518)/F518)</f>
        <v>1.2059635135167703E-2</v>
      </c>
      <c r="H519" s="2">
        <f>_xlfn.IFNA(Table1[[#This Row],[annual_net_earnings_raw]], 0)</f>
        <v>13834</v>
      </c>
      <c r="I519" s="11"/>
    </row>
    <row r="520" spans="1:9" x14ac:dyDescent="0.25">
      <c r="A520" t="s">
        <v>45</v>
      </c>
      <c r="B520" t="s">
        <v>15</v>
      </c>
      <c r="C520">
        <v>84.9</v>
      </c>
      <c r="D520" s="3">
        <f>(100-Table1[[#This Row],[price_level_index]])/100</f>
        <v>0.15099999999999994</v>
      </c>
      <c r="E520" s="2">
        <v>13903</v>
      </c>
      <c r="F520" s="9">
        <f>Table1[[#This Row],[annual_net_earnings_raw]]+(Table1[[#This Row],[annual_net_earnings_raw]]*Table1[[#This Row],[price_level_index_mean_deviance]])</f>
        <v>16002.352999999999</v>
      </c>
      <c r="G520" s="11">
        <f>IF(Table1[[#This Row],[date]]&lt;B519,"",(Table1[[#This Row],[european_earnings_index_raw]]-F519)/F519)</f>
        <v>1.5072345128727151E-3</v>
      </c>
      <c r="H520" s="2">
        <f>_xlfn.IFNA(Table1[[#This Row],[annual_net_earnings_raw]], 0)</f>
        <v>13903</v>
      </c>
      <c r="I520" s="11"/>
    </row>
    <row r="521" spans="1:9" x14ac:dyDescent="0.25">
      <c r="A521" t="s">
        <v>45</v>
      </c>
      <c r="B521" t="s">
        <v>16</v>
      </c>
      <c r="C521">
        <v>84.9</v>
      </c>
      <c r="D521" s="3">
        <f>(100-Table1[[#This Row],[price_level_index]])/100</f>
        <v>0.15099999999999994</v>
      </c>
      <c r="E521" s="2">
        <v>14021</v>
      </c>
      <c r="F521" s="9">
        <f>Table1[[#This Row],[annual_net_earnings_raw]]+(Table1[[#This Row],[annual_net_earnings_raw]]*Table1[[#This Row],[price_level_index_mean_deviance]])</f>
        <v>16138.170999999998</v>
      </c>
      <c r="G521" s="11">
        <f>IF(Table1[[#This Row],[date]]&lt;B520,"",(Table1[[#This Row],[european_earnings_index_raw]]-F520)/F520)</f>
        <v>8.4873768251456094E-3</v>
      </c>
      <c r="H521" s="2">
        <f>_xlfn.IFNA(Table1[[#This Row],[annual_net_earnings_raw]], 0)</f>
        <v>14021</v>
      </c>
      <c r="I521" s="11"/>
    </row>
    <row r="522" spans="1:9" x14ac:dyDescent="0.25">
      <c r="A522" t="s">
        <v>45</v>
      </c>
      <c r="B522" t="s">
        <v>17</v>
      </c>
      <c r="C522">
        <v>85.7</v>
      </c>
      <c r="D522" s="3">
        <f>(100-Table1[[#This Row],[price_level_index]])/100</f>
        <v>0.14299999999999996</v>
      </c>
      <c r="E522" s="2">
        <v>14037</v>
      </c>
      <c r="F522" s="9">
        <f>Table1[[#This Row],[annual_net_earnings_raw]]+(Table1[[#This Row],[annual_net_earnings_raw]]*Table1[[#This Row],[price_level_index_mean_deviance]])</f>
        <v>16044.290999999999</v>
      </c>
      <c r="G522" s="11">
        <f>IF(Table1[[#This Row],[date]]&lt;B521,"",(Table1[[#This Row],[european_earnings_index_raw]]-F521)/F521)</f>
        <v>-5.8172639266245978E-3</v>
      </c>
      <c r="H522" s="2">
        <f>_xlfn.IFNA(Table1[[#This Row],[annual_net_earnings_raw]], 0)</f>
        <v>14037</v>
      </c>
      <c r="I522" s="11"/>
    </row>
    <row r="523" spans="1:9" x14ac:dyDescent="0.25">
      <c r="A523" t="s">
        <v>45</v>
      </c>
      <c r="B523" t="s">
        <v>18</v>
      </c>
      <c r="C523">
        <v>85.4</v>
      </c>
      <c r="D523" s="3">
        <f>(100-Table1[[#This Row],[price_level_index]])/100</f>
        <v>0.14599999999999994</v>
      </c>
      <c r="E523" s="2">
        <v>14425</v>
      </c>
      <c r="F523" s="9">
        <f>Table1[[#This Row],[annual_net_earnings_raw]]+(Table1[[#This Row],[annual_net_earnings_raw]]*Table1[[#This Row],[price_level_index_mean_deviance]])</f>
        <v>16531.05</v>
      </c>
      <c r="G523" s="11">
        <f>IF(Table1[[#This Row],[date]]&lt;B522,"",(Table1[[#This Row],[european_earnings_index_raw]]-F522)/F522)</f>
        <v>3.0338454968187753E-2</v>
      </c>
      <c r="H523" s="2">
        <f>_xlfn.IFNA(Table1[[#This Row],[annual_net_earnings_raw]], 0)</f>
        <v>14425</v>
      </c>
      <c r="I523" s="11"/>
    </row>
    <row r="524" spans="1:9" x14ac:dyDescent="0.25">
      <c r="A524" t="s">
        <v>45</v>
      </c>
      <c r="B524" t="s">
        <v>19</v>
      </c>
      <c r="C524">
        <v>86.2</v>
      </c>
      <c r="D524" s="3">
        <f>(100-Table1[[#This Row],[price_level_index]])/100</f>
        <v>0.13799999999999998</v>
      </c>
      <c r="E524" s="2">
        <v>14813</v>
      </c>
      <c r="F524" s="9">
        <f>Table1[[#This Row],[annual_net_earnings_raw]]+(Table1[[#This Row],[annual_net_earnings_raw]]*Table1[[#This Row],[price_level_index_mean_deviance]])</f>
        <v>16857.194</v>
      </c>
      <c r="G524" s="11">
        <f>IF(Table1[[#This Row],[date]]&lt;B523,"",(Table1[[#This Row],[european_earnings_index_raw]]-F523)/F523)</f>
        <v>1.972917630761508E-2</v>
      </c>
      <c r="H524" s="2">
        <f>_xlfn.IFNA(Table1[[#This Row],[annual_net_earnings_raw]], 0)</f>
        <v>14813</v>
      </c>
      <c r="I524" s="11"/>
    </row>
    <row r="525" spans="1:9" x14ac:dyDescent="0.25">
      <c r="A525" t="s">
        <v>45</v>
      </c>
      <c r="B525" t="s">
        <v>20</v>
      </c>
      <c r="C525">
        <v>86.4</v>
      </c>
      <c r="D525" s="3">
        <f>(100-Table1[[#This Row],[price_level_index]])/100</f>
        <v>0.13599999999999995</v>
      </c>
      <c r="E525" s="2">
        <v>15303</v>
      </c>
      <c r="F525" s="9">
        <f>Table1[[#This Row],[annual_net_earnings_raw]]+(Table1[[#This Row],[annual_net_earnings_raw]]*Table1[[#This Row],[price_level_index_mean_deviance]])</f>
        <v>17384.207999999999</v>
      </c>
      <c r="G525" s="11">
        <f>IF(Table1[[#This Row],[date]]&lt;B524,"",(Table1[[#This Row],[european_earnings_index_raw]]-F524)/F524)</f>
        <v>3.1263447522760862E-2</v>
      </c>
      <c r="H525" s="2">
        <f>_xlfn.IFNA(Table1[[#This Row],[annual_net_earnings_raw]], 0)</f>
        <v>15303</v>
      </c>
      <c r="I525" s="11"/>
    </row>
    <row r="526" spans="1:9" x14ac:dyDescent="0.25">
      <c r="A526" t="s">
        <v>45</v>
      </c>
      <c r="B526" t="s">
        <v>21</v>
      </c>
      <c r="C526">
        <v>86.6</v>
      </c>
      <c r="D526" s="3">
        <f>(100-Table1[[#This Row],[price_level_index]])/100</f>
        <v>0.13400000000000006</v>
      </c>
      <c r="E526" s="2">
        <v>15907</v>
      </c>
      <c r="F526" s="9">
        <f>Table1[[#This Row],[annual_net_earnings_raw]]+(Table1[[#This Row],[annual_net_earnings_raw]]*Table1[[#This Row],[price_level_index_mean_deviance]])</f>
        <v>18038.538</v>
      </c>
      <c r="G526" s="11">
        <f>IF(Table1[[#This Row],[date]]&lt;B525,"",(Table1[[#This Row],[european_earnings_index_raw]]-F525)/F525)</f>
        <v>3.7639333353581696E-2</v>
      </c>
      <c r="H526" s="2">
        <f>_xlfn.IFNA(Table1[[#This Row],[annual_net_earnings_raw]], 0)</f>
        <v>15907</v>
      </c>
      <c r="I526" s="11"/>
    </row>
    <row r="527" spans="1:9" x14ac:dyDescent="0.25">
      <c r="A527" t="s">
        <v>46</v>
      </c>
      <c r="B527" t="s">
        <v>1</v>
      </c>
      <c r="C527">
        <v>90.2</v>
      </c>
      <c r="D527" s="3">
        <f>(100-Table1[[#This Row],[price_level_index]])/100</f>
        <v>9.7999999999999976E-2</v>
      </c>
      <c r="E527" s="2">
        <v>15308</v>
      </c>
      <c r="F527" s="9">
        <f>Table1[[#This Row],[annual_net_earnings_raw]]+(Table1[[#This Row],[annual_net_earnings_raw]]*Table1[[#This Row],[price_level_index_mean_deviance]])</f>
        <v>16808.184000000001</v>
      </c>
      <c r="G527" s="11" t="str">
        <f>IF(Table1[[#This Row],[date]]&lt;B526,"",(Table1[[#This Row],[european_earnings_index_raw]]-F526)/F526)</f>
        <v/>
      </c>
      <c r="H527" s="2">
        <f>_xlfn.IFNA(Table1[[#This Row],[annual_net_earnings_raw]], 0)</f>
        <v>15308</v>
      </c>
      <c r="I527" s="11"/>
    </row>
    <row r="528" spans="1:9" x14ac:dyDescent="0.25">
      <c r="A528" t="s">
        <v>46</v>
      </c>
      <c r="B528" t="s">
        <v>2</v>
      </c>
      <c r="C528">
        <v>90.2</v>
      </c>
      <c r="D528" s="3">
        <f>(100-Table1[[#This Row],[price_level_index]])/100</f>
        <v>9.7999999999999976E-2</v>
      </c>
      <c r="E528" s="2">
        <v>15819</v>
      </c>
      <c r="F528" s="9">
        <f>Table1[[#This Row],[annual_net_earnings_raw]]+(Table1[[#This Row],[annual_net_earnings_raw]]*Table1[[#This Row],[price_level_index_mean_deviance]])</f>
        <v>17369.261999999999</v>
      </c>
      <c r="G528" s="11">
        <f>IF(Table1[[#This Row],[date]]&lt;B527,"",(Table1[[#This Row],[european_earnings_index_raw]]-F527)/F527)</f>
        <v>3.3381238568068843E-2</v>
      </c>
      <c r="H528" s="2">
        <f>_xlfn.IFNA(Table1[[#This Row],[annual_net_earnings_raw]], 0)</f>
        <v>15819</v>
      </c>
      <c r="I528" s="11"/>
    </row>
    <row r="529" spans="1:9" x14ac:dyDescent="0.25">
      <c r="A529" t="s">
        <v>46</v>
      </c>
      <c r="B529" t="s">
        <v>3</v>
      </c>
      <c r="C529">
        <v>89.6</v>
      </c>
      <c r="D529" s="3">
        <f>(100-Table1[[#This Row],[price_level_index]])/100</f>
        <v>0.10400000000000005</v>
      </c>
      <c r="E529" s="2">
        <v>16496</v>
      </c>
      <c r="F529" s="9">
        <f>Table1[[#This Row],[annual_net_earnings_raw]]+(Table1[[#This Row],[annual_net_earnings_raw]]*Table1[[#This Row],[price_level_index_mean_deviance]])</f>
        <v>18211.584000000003</v>
      </c>
      <c r="G529" s="11">
        <f>IF(Table1[[#This Row],[date]]&lt;B528,"",(Table1[[#This Row],[european_earnings_index_raw]]-F528)/F528)</f>
        <v>4.849497923400567E-2</v>
      </c>
      <c r="H529" s="2">
        <f>_xlfn.IFNA(Table1[[#This Row],[annual_net_earnings_raw]], 0)</f>
        <v>16496</v>
      </c>
      <c r="I529" s="11"/>
    </row>
    <row r="530" spans="1:9" x14ac:dyDescent="0.25">
      <c r="A530" t="s">
        <v>46</v>
      </c>
      <c r="B530" t="s">
        <v>4</v>
      </c>
      <c r="C530">
        <v>91.5</v>
      </c>
      <c r="D530" s="3">
        <f>(100-Table1[[#This Row],[price_level_index]])/100</f>
        <v>8.5000000000000006E-2</v>
      </c>
      <c r="E530" s="2">
        <v>17044</v>
      </c>
      <c r="F530" s="9">
        <f>Table1[[#This Row],[annual_net_earnings_raw]]+(Table1[[#This Row],[annual_net_earnings_raw]]*Table1[[#This Row],[price_level_index_mean_deviance]])</f>
        <v>18492.740000000002</v>
      </c>
      <c r="G530" s="11">
        <f>IF(Table1[[#This Row],[date]]&lt;B529,"",(Table1[[#This Row],[european_earnings_index_raw]]-F529)/F529)</f>
        <v>1.5438305641068838E-2</v>
      </c>
      <c r="H530" s="2">
        <f>_xlfn.IFNA(Table1[[#This Row],[annual_net_earnings_raw]], 0)</f>
        <v>17044</v>
      </c>
      <c r="I530" s="11"/>
    </row>
    <row r="531" spans="1:9" x14ac:dyDescent="0.25">
      <c r="A531" t="s">
        <v>46</v>
      </c>
      <c r="B531" t="s">
        <v>5</v>
      </c>
      <c r="C531">
        <v>93.2</v>
      </c>
      <c r="D531" s="3">
        <f>(100-Table1[[#This Row],[price_level_index]])/100</f>
        <v>6.7999999999999977E-2</v>
      </c>
      <c r="E531" s="2">
        <v>17086</v>
      </c>
      <c r="F531" s="9">
        <f>Table1[[#This Row],[annual_net_earnings_raw]]+(Table1[[#This Row],[annual_net_earnings_raw]]*Table1[[#This Row],[price_level_index_mean_deviance]])</f>
        <v>18247.847999999998</v>
      </c>
      <c r="G531" s="11">
        <f>IF(Table1[[#This Row],[date]]&lt;B530,"",(Table1[[#This Row],[european_earnings_index_raw]]-F530)/F530)</f>
        <v>-1.3242602232011234E-2</v>
      </c>
      <c r="H531" s="2">
        <f>_xlfn.IFNA(Table1[[#This Row],[annual_net_earnings_raw]], 0)</f>
        <v>17086</v>
      </c>
      <c r="I531" s="11"/>
    </row>
    <row r="532" spans="1:9" x14ac:dyDescent="0.25">
      <c r="A532" t="s">
        <v>46</v>
      </c>
      <c r="B532" t="s">
        <v>6</v>
      </c>
      <c r="C532">
        <v>93.5</v>
      </c>
      <c r="D532" s="3">
        <f>(100-Table1[[#This Row],[price_level_index]])/100</f>
        <v>6.5000000000000002E-2</v>
      </c>
      <c r="E532" s="2">
        <v>17494</v>
      </c>
      <c r="F532" s="9">
        <f>Table1[[#This Row],[annual_net_earnings_raw]]+(Table1[[#This Row],[annual_net_earnings_raw]]*Table1[[#This Row],[price_level_index_mean_deviance]])</f>
        <v>18631.11</v>
      </c>
      <c r="G532" s="11">
        <f>IF(Table1[[#This Row],[date]]&lt;B531,"",(Table1[[#This Row],[european_earnings_index_raw]]-F531)/F531)</f>
        <v>2.1003134177794692E-2</v>
      </c>
      <c r="H532" s="2">
        <f>_xlfn.IFNA(Table1[[#This Row],[annual_net_earnings_raw]], 0)</f>
        <v>17494</v>
      </c>
      <c r="I532" s="11"/>
    </row>
    <row r="533" spans="1:9" x14ac:dyDescent="0.25">
      <c r="A533" t="s">
        <v>46</v>
      </c>
      <c r="B533" t="s">
        <v>7</v>
      </c>
      <c r="C533">
        <v>93.6</v>
      </c>
      <c r="D533" s="3">
        <f>(100-Table1[[#This Row],[price_level_index]])/100</f>
        <v>6.4000000000000057E-2</v>
      </c>
      <c r="E533" s="2">
        <v>17864</v>
      </c>
      <c r="F533" s="9">
        <f>Table1[[#This Row],[annual_net_earnings_raw]]+(Table1[[#This Row],[annual_net_earnings_raw]]*Table1[[#This Row],[price_level_index_mean_deviance]])</f>
        <v>19007.296000000002</v>
      </c>
      <c r="G533" s="11">
        <f>IF(Table1[[#This Row],[date]]&lt;B532,"",(Table1[[#This Row],[european_earnings_index_raw]]-F532)/F532)</f>
        <v>2.0191282215606128E-2</v>
      </c>
      <c r="H533" s="2">
        <f>_xlfn.IFNA(Table1[[#This Row],[annual_net_earnings_raw]], 0)</f>
        <v>17864</v>
      </c>
      <c r="I533" s="11"/>
    </row>
    <row r="534" spans="1:9" x14ac:dyDescent="0.25">
      <c r="A534" t="s">
        <v>46</v>
      </c>
      <c r="B534" t="s">
        <v>8</v>
      </c>
      <c r="C534">
        <v>96.4</v>
      </c>
      <c r="D534" s="3">
        <f>(100-Table1[[#This Row],[price_level_index]])/100</f>
        <v>3.5999999999999942E-2</v>
      </c>
      <c r="E534" s="2">
        <v>18110</v>
      </c>
      <c r="F534" s="9">
        <f>Table1[[#This Row],[annual_net_earnings_raw]]+(Table1[[#This Row],[annual_net_earnings_raw]]*Table1[[#This Row],[price_level_index_mean_deviance]])</f>
        <v>18761.96</v>
      </c>
      <c r="G534" s="11">
        <f>IF(Table1[[#This Row],[date]]&lt;B533,"",(Table1[[#This Row],[european_earnings_index_raw]]-F533)/F533)</f>
        <v>-1.2907464586230622E-2</v>
      </c>
      <c r="H534" s="2">
        <f>_xlfn.IFNA(Table1[[#This Row],[annual_net_earnings_raw]], 0)</f>
        <v>18110</v>
      </c>
      <c r="I534" s="11"/>
    </row>
    <row r="535" spans="1:9" x14ac:dyDescent="0.25">
      <c r="A535" t="s">
        <v>46</v>
      </c>
      <c r="B535" t="s">
        <v>9</v>
      </c>
      <c r="C535">
        <v>97.1</v>
      </c>
      <c r="D535" s="3">
        <f>(100-Table1[[#This Row],[price_level_index]])/100</f>
        <v>2.9000000000000057E-2</v>
      </c>
      <c r="E535" s="2">
        <v>19354</v>
      </c>
      <c r="F535" s="9">
        <f>Table1[[#This Row],[annual_net_earnings_raw]]+(Table1[[#This Row],[annual_net_earnings_raw]]*Table1[[#This Row],[price_level_index_mean_deviance]])</f>
        <v>19915.266</v>
      </c>
      <c r="G535" s="11">
        <f>IF(Table1[[#This Row],[date]]&lt;B534,"",(Table1[[#This Row],[european_earnings_index_raw]]-F534)/F534)</f>
        <v>6.1470443386511885E-2</v>
      </c>
      <c r="H535" s="2">
        <f>_xlfn.IFNA(Table1[[#This Row],[annual_net_earnings_raw]], 0)</f>
        <v>19354</v>
      </c>
      <c r="I535" s="11"/>
    </row>
    <row r="536" spans="1:9" x14ac:dyDescent="0.25">
      <c r="A536" t="s">
        <v>46</v>
      </c>
      <c r="B536" t="s">
        <v>10</v>
      </c>
      <c r="C536">
        <v>98.8</v>
      </c>
      <c r="D536" s="3">
        <f>(100-Table1[[#This Row],[price_level_index]])/100</f>
        <v>1.2000000000000028E-2</v>
      </c>
      <c r="E536" s="2">
        <v>19556</v>
      </c>
      <c r="F536" s="9">
        <f>Table1[[#This Row],[annual_net_earnings_raw]]+(Table1[[#This Row],[annual_net_earnings_raw]]*Table1[[#This Row],[price_level_index_mean_deviance]])</f>
        <v>19790.672000000002</v>
      </c>
      <c r="G536" s="11">
        <f>IF(Table1[[#This Row],[date]]&lt;B535,"",(Table1[[#This Row],[european_earnings_index_raw]]-F535)/F535)</f>
        <v>-6.2562056665473277E-3</v>
      </c>
      <c r="H536" s="2">
        <f>_xlfn.IFNA(Table1[[#This Row],[annual_net_earnings_raw]], 0)</f>
        <v>19556</v>
      </c>
      <c r="I536" s="11"/>
    </row>
    <row r="537" spans="1:9" x14ac:dyDescent="0.25">
      <c r="A537" t="s">
        <v>46</v>
      </c>
      <c r="B537" t="s">
        <v>11</v>
      </c>
      <c r="C537">
        <v>100.7</v>
      </c>
      <c r="D537" s="3">
        <f>(100-Table1[[#This Row],[price_level_index]])/100</f>
        <v>-7.0000000000000288E-3</v>
      </c>
      <c r="E537" s="2">
        <v>19454</v>
      </c>
      <c r="F537" s="9">
        <f>Table1[[#This Row],[annual_net_earnings_raw]]+(Table1[[#This Row],[annual_net_earnings_raw]]*Table1[[#This Row],[price_level_index_mean_deviance]])</f>
        <v>19317.822</v>
      </c>
      <c r="G537" s="11">
        <f>IF(Table1[[#This Row],[date]]&lt;B536,"",(Table1[[#This Row],[european_earnings_index_raw]]-F536)/F536)</f>
        <v>-2.3892569186129815E-2</v>
      </c>
      <c r="H537" s="2">
        <f>_xlfn.IFNA(Table1[[#This Row],[annual_net_earnings_raw]], 0)</f>
        <v>19454</v>
      </c>
      <c r="I537" s="11"/>
    </row>
    <row r="538" spans="1:9" x14ac:dyDescent="0.25">
      <c r="A538" t="s">
        <v>46</v>
      </c>
      <c r="B538" t="s">
        <v>12</v>
      </c>
      <c r="C538">
        <v>100.5</v>
      </c>
      <c r="D538" s="3">
        <f>(100-Table1[[#This Row],[price_level_index]])/100</f>
        <v>-5.0000000000000001E-3</v>
      </c>
      <c r="E538" s="2">
        <v>19893</v>
      </c>
      <c r="F538" s="9">
        <f>Table1[[#This Row],[annual_net_earnings_raw]]+(Table1[[#This Row],[annual_net_earnings_raw]]*Table1[[#This Row],[price_level_index_mean_deviance]])</f>
        <v>19793.535</v>
      </c>
      <c r="G538" s="11">
        <f>IF(Table1[[#This Row],[date]]&lt;B537,"",(Table1[[#This Row],[european_earnings_index_raw]]-F537)/F537)</f>
        <v>2.4625602202981253E-2</v>
      </c>
      <c r="H538" s="2">
        <f>_xlfn.IFNA(Table1[[#This Row],[annual_net_earnings_raw]], 0)</f>
        <v>19893</v>
      </c>
      <c r="I538" s="11"/>
    </row>
    <row r="539" spans="1:9" x14ac:dyDescent="0.25">
      <c r="A539" t="s">
        <v>46</v>
      </c>
      <c r="B539" t="s">
        <v>13</v>
      </c>
      <c r="C539">
        <v>99</v>
      </c>
      <c r="D539" s="3">
        <f>(100-Table1[[#This Row],[price_level_index]])/100</f>
        <v>0.01</v>
      </c>
      <c r="E539" s="2">
        <v>20129</v>
      </c>
      <c r="F539" s="9">
        <f>Table1[[#This Row],[annual_net_earnings_raw]]+(Table1[[#This Row],[annual_net_earnings_raw]]*Table1[[#This Row],[price_level_index_mean_deviance]])</f>
        <v>20330.29</v>
      </c>
      <c r="G539" s="11">
        <f>IF(Table1[[#This Row],[date]]&lt;B538,"",(Table1[[#This Row],[european_earnings_index_raw]]-F538)/F538)</f>
        <v>2.7117692721386099E-2</v>
      </c>
      <c r="H539" s="2">
        <f>_xlfn.IFNA(Table1[[#This Row],[annual_net_earnings_raw]], 0)</f>
        <v>20129</v>
      </c>
      <c r="I539" s="11"/>
    </row>
    <row r="540" spans="1:9" x14ac:dyDescent="0.25">
      <c r="A540" t="s">
        <v>46</v>
      </c>
      <c r="B540" t="s">
        <v>14</v>
      </c>
      <c r="C540">
        <v>97.9</v>
      </c>
      <c r="D540" s="3">
        <f>(100-Table1[[#This Row],[price_level_index]])/100</f>
        <v>2.0999999999999942E-2</v>
      </c>
      <c r="E540" s="2">
        <v>20601</v>
      </c>
      <c r="F540" s="9">
        <f>Table1[[#This Row],[annual_net_earnings_raw]]+(Table1[[#This Row],[annual_net_earnings_raw]]*Table1[[#This Row],[price_level_index_mean_deviance]])</f>
        <v>21033.620999999999</v>
      </c>
      <c r="G540" s="11">
        <f>IF(Table1[[#This Row],[date]]&lt;B539,"",(Table1[[#This Row],[european_earnings_index_raw]]-F539)/F539)</f>
        <v>3.4595227121698623E-2</v>
      </c>
      <c r="H540" s="2">
        <f>_xlfn.IFNA(Table1[[#This Row],[annual_net_earnings_raw]], 0)</f>
        <v>20601</v>
      </c>
      <c r="I540" s="11"/>
    </row>
    <row r="541" spans="1:9" x14ac:dyDescent="0.25">
      <c r="A541" t="s">
        <v>46</v>
      </c>
      <c r="B541" t="s">
        <v>15</v>
      </c>
      <c r="C541">
        <v>96.5</v>
      </c>
      <c r="D541" s="3">
        <f>(100-Table1[[#This Row],[price_level_index]])/100</f>
        <v>3.5000000000000003E-2</v>
      </c>
      <c r="E541" s="2">
        <v>20950</v>
      </c>
      <c r="F541" s="9">
        <f>Table1[[#This Row],[annual_net_earnings_raw]]+(Table1[[#This Row],[annual_net_earnings_raw]]*Table1[[#This Row],[price_level_index_mean_deviance]])</f>
        <v>21683.25</v>
      </c>
      <c r="G541" s="11">
        <f>IF(Table1[[#This Row],[date]]&lt;B540,"",(Table1[[#This Row],[european_earnings_index_raw]]-F540)/F540)</f>
        <v>3.0885266973290089E-2</v>
      </c>
      <c r="H541" s="2">
        <f>_xlfn.IFNA(Table1[[#This Row],[annual_net_earnings_raw]], 0)</f>
        <v>20950</v>
      </c>
      <c r="I541" s="11"/>
    </row>
    <row r="542" spans="1:9" x14ac:dyDescent="0.25">
      <c r="A542" t="s">
        <v>46</v>
      </c>
      <c r="B542" t="s">
        <v>16</v>
      </c>
      <c r="C542">
        <v>95.8</v>
      </c>
      <c r="D542" s="3">
        <f>(100-Table1[[#This Row],[price_level_index]])/100</f>
        <v>4.200000000000003E-2</v>
      </c>
      <c r="E542" s="2">
        <v>21971</v>
      </c>
      <c r="F542" s="9">
        <f>Table1[[#This Row],[annual_net_earnings_raw]]+(Table1[[#This Row],[annual_net_earnings_raw]]*Table1[[#This Row],[price_level_index_mean_deviance]])</f>
        <v>22893.781999999999</v>
      </c>
      <c r="G542" s="11">
        <f>IF(Table1[[#This Row],[date]]&lt;B541,"",(Table1[[#This Row],[european_earnings_index_raw]]-F541)/F541)</f>
        <v>5.5827977816978507E-2</v>
      </c>
      <c r="H542" s="2">
        <f>_xlfn.IFNA(Table1[[#This Row],[annual_net_earnings_raw]], 0)</f>
        <v>21971</v>
      </c>
      <c r="I542" s="11"/>
    </row>
    <row r="543" spans="1:9" x14ac:dyDescent="0.25">
      <c r="A543" t="s">
        <v>46</v>
      </c>
      <c r="B543" t="s">
        <v>17</v>
      </c>
      <c r="C543">
        <v>96.2</v>
      </c>
      <c r="D543" s="3">
        <f>(100-Table1[[#This Row],[price_level_index]])/100</f>
        <v>3.7999999999999971E-2</v>
      </c>
      <c r="E543" s="2">
        <v>21841</v>
      </c>
      <c r="F543" s="9">
        <f>Table1[[#This Row],[annual_net_earnings_raw]]+(Table1[[#This Row],[annual_net_earnings_raw]]*Table1[[#This Row],[price_level_index_mean_deviance]])</f>
        <v>22670.957999999999</v>
      </c>
      <c r="G543" s="11">
        <f>IF(Table1[[#This Row],[date]]&lt;B542,"",(Table1[[#This Row],[european_earnings_index_raw]]-F542)/F542)</f>
        <v>-9.7329484486224482E-3</v>
      </c>
      <c r="H543" s="2">
        <f>_xlfn.IFNA(Table1[[#This Row],[annual_net_earnings_raw]], 0)</f>
        <v>21841</v>
      </c>
      <c r="I543" s="11"/>
    </row>
    <row r="544" spans="1:9" x14ac:dyDescent="0.25">
      <c r="A544" t="s">
        <v>46</v>
      </c>
      <c r="B544" t="s">
        <v>18</v>
      </c>
      <c r="C544">
        <v>95.5</v>
      </c>
      <c r="D544" s="3">
        <f>(100-Table1[[#This Row],[price_level_index]])/100</f>
        <v>4.4999999999999998E-2</v>
      </c>
      <c r="E544" s="2">
        <v>22106</v>
      </c>
      <c r="F544" s="9">
        <f>Table1[[#This Row],[annual_net_earnings_raw]]+(Table1[[#This Row],[annual_net_earnings_raw]]*Table1[[#This Row],[price_level_index_mean_deviance]])</f>
        <v>23100.77</v>
      </c>
      <c r="G544" s="11">
        <f>IF(Table1[[#This Row],[date]]&lt;B543,"",(Table1[[#This Row],[european_earnings_index_raw]]-F543)/F543)</f>
        <v>1.8958704788743456E-2</v>
      </c>
      <c r="H544" s="2">
        <f>_xlfn.IFNA(Table1[[#This Row],[annual_net_earnings_raw]], 0)</f>
        <v>22106</v>
      </c>
      <c r="I544" s="11"/>
    </row>
    <row r="545" spans="1:9" x14ac:dyDescent="0.25">
      <c r="A545" t="s">
        <v>46</v>
      </c>
      <c r="B545" t="s">
        <v>19</v>
      </c>
      <c r="C545">
        <v>96.8</v>
      </c>
      <c r="D545" s="3">
        <f>(100-Table1[[#This Row],[price_level_index]])/100</f>
        <v>3.2000000000000028E-2</v>
      </c>
      <c r="E545" s="2">
        <v>21991</v>
      </c>
      <c r="F545" s="9">
        <f>Table1[[#This Row],[annual_net_earnings_raw]]+(Table1[[#This Row],[annual_net_earnings_raw]]*Table1[[#This Row],[price_level_index_mean_deviance]])</f>
        <v>22694.712</v>
      </c>
      <c r="G545" s="11">
        <f>IF(Table1[[#This Row],[date]]&lt;B544,"",(Table1[[#This Row],[european_earnings_index_raw]]-F544)/F544)</f>
        <v>-1.7577682475519253E-2</v>
      </c>
      <c r="H545" s="2">
        <f>_xlfn.IFNA(Table1[[#This Row],[annual_net_earnings_raw]], 0)</f>
        <v>21991</v>
      </c>
      <c r="I545" s="11"/>
    </row>
    <row r="546" spans="1:9" x14ac:dyDescent="0.25">
      <c r="A546" t="s">
        <v>46</v>
      </c>
      <c r="B546" t="s">
        <v>20</v>
      </c>
      <c r="C546">
        <v>96.4</v>
      </c>
      <c r="D546" s="3">
        <f>(100-Table1[[#This Row],[price_level_index]])/100</f>
        <v>3.5999999999999942E-2</v>
      </c>
      <c r="E546" s="2">
        <v>22381</v>
      </c>
      <c r="F546" s="9">
        <f>Table1[[#This Row],[annual_net_earnings_raw]]+(Table1[[#This Row],[annual_net_earnings_raw]]*Table1[[#This Row],[price_level_index_mean_deviance]])</f>
        <v>23186.716</v>
      </c>
      <c r="G546" s="11">
        <f>IF(Table1[[#This Row],[date]]&lt;B545,"",(Table1[[#This Row],[european_earnings_index_raw]]-F545)/F545)</f>
        <v>2.16792352333002E-2</v>
      </c>
      <c r="H546" s="2">
        <f>_xlfn.IFNA(Table1[[#This Row],[annual_net_earnings_raw]], 0)</f>
        <v>22381</v>
      </c>
      <c r="I546" s="11"/>
    </row>
    <row r="547" spans="1:9" x14ac:dyDescent="0.25">
      <c r="A547" t="s">
        <v>46</v>
      </c>
      <c r="B547" t="s">
        <v>21</v>
      </c>
      <c r="C547">
        <v>99.1</v>
      </c>
      <c r="D547" s="3">
        <f>(100-Table1[[#This Row],[price_level_index]])/100</f>
        <v>9.0000000000000566E-3</v>
      </c>
      <c r="E547" s="2">
        <v>21093</v>
      </c>
      <c r="F547" s="9">
        <f>Table1[[#This Row],[annual_net_earnings_raw]]+(Table1[[#This Row],[annual_net_earnings_raw]]*Table1[[#This Row],[price_level_index_mean_deviance]])</f>
        <v>21282.837</v>
      </c>
      <c r="G547" s="11">
        <f>IF(Table1[[#This Row],[date]]&lt;B546,"",(Table1[[#This Row],[european_earnings_index_raw]]-F546)/F546)</f>
        <v>-8.2110765491758331E-2</v>
      </c>
      <c r="H547" s="2">
        <f>_xlfn.IFNA(Table1[[#This Row],[annual_net_earnings_raw]], 0)</f>
        <v>21093</v>
      </c>
      <c r="I547" s="11"/>
    </row>
    <row r="548" spans="1:9" x14ac:dyDescent="0.25">
      <c r="A548" t="s">
        <v>47</v>
      </c>
      <c r="B548" t="s">
        <v>1</v>
      </c>
      <c r="C548">
        <v>135.69999999999999</v>
      </c>
      <c r="D548" s="3">
        <f>(100-Table1[[#This Row],[price_level_index]])/100</f>
        <v>-0.35699999999999987</v>
      </c>
      <c r="E548" s="2">
        <v>15876</v>
      </c>
      <c r="F548" s="9">
        <f>Table1[[#This Row],[annual_net_earnings_raw]]+(Table1[[#This Row],[annual_net_earnings_raw]]*Table1[[#This Row],[price_level_index_mean_deviance]])</f>
        <v>10208.268000000002</v>
      </c>
      <c r="G548" s="11" t="str">
        <f>IF(Table1[[#This Row],[date]]&lt;B547,"",(Table1[[#This Row],[european_earnings_index_raw]]-F547)/F547)</f>
        <v/>
      </c>
      <c r="H548" s="2">
        <f>_xlfn.IFNA(Table1[[#This Row],[annual_net_earnings_raw]], 0)</f>
        <v>15876</v>
      </c>
      <c r="I548" s="11"/>
    </row>
    <row r="549" spans="1:9" x14ac:dyDescent="0.25">
      <c r="A549" t="s">
        <v>47</v>
      </c>
      <c r="B549" t="s">
        <v>2</v>
      </c>
      <c r="C549">
        <v>127.1</v>
      </c>
      <c r="D549" s="3">
        <f>(100-Table1[[#This Row],[price_level_index]])/100</f>
        <v>-0.27099999999999996</v>
      </c>
      <c r="E549" s="2">
        <v>16696</v>
      </c>
      <c r="F549" s="9">
        <f>Table1[[#This Row],[annual_net_earnings_raw]]+(Table1[[#This Row],[annual_net_earnings_raw]]*Table1[[#This Row],[price_level_index_mean_deviance]])</f>
        <v>12171.384000000002</v>
      </c>
      <c r="G549" s="11">
        <f>IF(Table1[[#This Row],[date]]&lt;B548,"",(Table1[[#This Row],[european_earnings_index_raw]]-F548)/F548)</f>
        <v>0.19230647157774458</v>
      </c>
      <c r="H549" s="2">
        <f>_xlfn.IFNA(Table1[[#This Row],[annual_net_earnings_raw]], 0)</f>
        <v>16696</v>
      </c>
      <c r="I549" s="11"/>
    </row>
    <row r="550" spans="1:9" x14ac:dyDescent="0.25">
      <c r="A550" t="s">
        <v>47</v>
      </c>
      <c r="B550" t="s">
        <v>3</v>
      </c>
      <c r="C550">
        <v>129.9</v>
      </c>
      <c r="D550" s="3">
        <f>(100-Table1[[#This Row],[price_level_index]])/100</f>
        <v>-0.29900000000000004</v>
      </c>
      <c r="E550" s="2">
        <v>17468</v>
      </c>
      <c r="F550" s="9">
        <f>Table1[[#This Row],[annual_net_earnings_raw]]+(Table1[[#This Row],[annual_net_earnings_raw]]*Table1[[#This Row],[price_level_index_mean_deviance]])</f>
        <v>12245.067999999999</v>
      </c>
      <c r="G550" s="11">
        <f>IF(Table1[[#This Row],[date]]&lt;B549,"",(Table1[[#This Row],[european_earnings_index_raw]]-F549)/F549)</f>
        <v>6.0538719343664988E-3</v>
      </c>
      <c r="H550" s="2">
        <f>_xlfn.IFNA(Table1[[#This Row],[annual_net_earnings_raw]], 0)</f>
        <v>17468</v>
      </c>
      <c r="I550" s="11"/>
    </row>
    <row r="551" spans="1:9" x14ac:dyDescent="0.25">
      <c r="A551" t="s">
        <v>47</v>
      </c>
      <c r="B551" t="s">
        <v>4</v>
      </c>
      <c r="C551">
        <v>131.9</v>
      </c>
      <c r="D551" s="3">
        <f>(100-Table1[[#This Row],[price_level_index]])/100</f>
        <v>-0.31900000000000006</v>
      </c>
      <c r="E551" s="2">
        <v>17549</v>
      </c>
      <c r="F551" s="9">
        <f>Table1[[#This Row],[annual_net_earnings_raw]]+(Table1[[#This Row],[annual_net_earnings_raw]]*Table1[[#This Row],[price_level_index_mean_deviance]])</f>
        <v>11950.868999999999</v>
      </c>
      <c r="G551" s="11">
        <f>IF(Table1[[#This Row],[date]]&lt;B550,"",(Table1[[#This Row],[european_earnings_index_raw]]-F550)/F550)</f>
        <v>-2.4025918026751712E-2</v>
      </c>
      <c r="H551" s="2">
        <f>_xlfn.IFNA(Table1[[#This Row],[annual_net_earnings_raw]], 0)</f>
        <v>17549</v>
      </c>
      <c r="I551" s="11"/>
    </row>
    <row r="552" spans="1:9" x14ac:dyDescent="0.25">
      <c r="A552" t="s">
        <v>47</v>
      </c>
      <c r="B552" t="s">
        <v>5</v>
      </c>
      <c r="C552">
        <v>130.4</v>
      </c>
      <c r="D552" s="3">
        <f>(100-Table1[[#This Row],[price_level_index]])/100</f>
        <v>-0.30400000000000005</v>
      </c>
      <c r="E552" s="2">
        <v>18483</v>
      </c>
      <c r="F552" s="9">
        <f>Table1[[#This Row],[annual_net_earnings_raw]]+(Table1[[#This Row],[annual_net_earnings_raw]]*Table1[[#This Row],[price_level_index_mean_deviance]])</f>
        <v>12864.167999999998</v>
      </c>
      <c r="G552" s="11">
        <f>IF(Table1[[#This Row],[date]]&lt;B551,"",(Table1[[#This Row],[european_earnings_index_raw]]-F551)/F551)</f>
        <v>7.6421137241149503E-2</v>
      </c>
      <c r="H552" s="2">
        <f>_xlfn.IFNA(Table1[[#This Row],[annual_net_earnings_raw]], 0)</f>
        <v>18483</v>
      </c>
      <c r="I552" s="11"/>
    </row>
    <row r="553" spans="1:9" x14ac:dyDescent="0.25">
      <c r="A553" t="s">
        <v>47</v>
      </c>
      <c r="B553" t="s">
        <v>6</v>
      </c>
      <c r="C553">
        <v>127.7</v>
      </c>
      <c r="D553" s="3">
        <f>(100-Table1[[#This Row],[price_level_index]])/100</f>
        <v>-0.27700000000000002</v>
      </c>
      <c r="E553" s="2">
        <v>19262</v>
      </c>
      <c r="F553" s="9">
        <f>Table1[[#This Row],[annual_net_earnings_raw]]+(Table1[[#This Row],[annual_net_earnings_raw]]*Table1[[#This Row],[price_level_index_mean_deviance]])</f>
        <v>13926.425999999999</v>
      </c>
      <c r="G553" s="11">
        <f>IF(Table1[[#This Row],[date]]&lt;B552,"",(Table1[[#This Row],[european_earnings_index_raw]]-F552)/F552)</f>
        <v>8.25749477152352E-2</v>
      </c>
      <c r="H553" s="2">
        <f>_xlfn.IFNA(Table1[[#This Row],[annual_net_earnings_raw]], 0)</f>
        <v>19262</v>
      </c>
      <c r="I553" s="11"/>
    </row>
    <row r="554" spans="1:9" x14ac:dyDescent="0.25">
      <c r="A554" t="s">
        <v>47</v>
      </c>
      <c r="B554" t="s">
        <v>7</v>
      </c>
      <c r="C554">
        <v>125.8</v>
      </c>
      <c r="D554" s="3">
        <f>(100-Table1[[#This Row],[price_level_index]])/100</f>
        <v>-0.25799999999999995</v>
      </c>
      <c r="E554" s="2">
        <v>20305</v>
      </c>
      <c r="F554" s="9">
        <f>Table1[[#This Row],[annual_net_earnings_raw]]+(Table1[[#This Row],[annual_net_earnings_raw]]*Table1[[#This Row],[price_level_index_mean_deviance]])</f>
        <v>15066.310000000001</v>
      </c>
      <c r="G554" s="11">
        <f>IF(Table1[[#This Row],[date]]&lt;B553,"",(Table1[[#This Row],[european_earnings_index_raw]]-F553)/F553)</f>
        <v>8.1850433126202077E-2</v>
      </c>
      <c r="H554" s="2">
        <f>_xlfn.IFNA(Table1[[#This Row],[annual_net_earnings_raw]], 0)</f>
        <v>20305</v>
      </c>
      <c r="I554" s="11"/>
    </row>
    <row r="555" spans="1:9" x14ac:dyDescent="0.25">
      <c r="A555" t="s">
        <v>47</v>
      </c>
      <c r="B555" t="s">
        <v>8</v>
      </c>
      <c r="C555">
        <v>123.6</v>
      </c>
      <c r="D555" s="3">
        <f>(100-Table1[[#This Row],[price_level_index]])/100</f>
        <v>-0.23599999999999993</v>
      </c>
      <c r="E555" s="2">
        <v>22594</v>
      </c>
      <c r="F555" s="9">
        <f>Table1[[#This Row],[annual_net_earnings_raw]]+(Table1[[#This Row],[annual_net_earnings_raw]]*Table1[[#This Row],[price_level_index_mean_deviance]])</f>
        <v>17261.816000000003</v>
      </c>
      <c r="G555" s="11">
        <f>IF(Table1[[#This Row],[date]]&lt;B554,"",(Table1[[#This Row],[european_earnings_index_raw]]-F554)/F554)</f>
        <v>0.14572287441317755</v>
      </c>
      <c r="H555" s="2">
        <f>_xlfn.IFNA(Table1[[#This Row],[annual_net_earnings_raw]], 0)</f>
        <v>22594</v>
      </c>
      <c r="I555" s="11"/>
    </row>
    <row r="556" spans="1:9" x14ac:dyDescent="0.25">
      <c r="A556" t="s">
        <v>47</v>
      </c>
      <c r="B556" t="s">
        <v>9</v>
      </c>
      <c r="C556">
        <v>118.6</v>
      </c>
      <c r="D556" s="3">
        <f>(100-Table1[[#This Row],[price_level_index]])/100</f>
        <v>-0.18599999999999994</v>
      </c>
      <c r="E556" s="2">
        <v>23872</v>
      </c>
      <c r="F556" s="9">
        <f>Table1[[#This Row],[annual_net_earnings_raw]]+(Table1[[#This Row],[annual_net_earnings_raw]]*Table1[[#This Row],[price_level_index_mean_deviance]])</f>
        <v>19431.808000000001</v>
      </c>
      <c r="G556" s="11">
        <f>IF(Table1[[#This Row],[date]]&lt;B555,"",(Table1[[#This Row],[european_earnings_index_raw]]-F555)/F555)</f>
        <v>0.12571052779151382</v>
      </c>
      <c r="H556" s="2">
        <f>_xlfn.IFNA(Table1[[#This Row],[annual_net_earnings_raw]], 0)</f>
        <v>23872</v>
      </c>
      <c r="I556" s="11"/>
    </row>
    <row r="557" spans="1:9" x14ac:dyDescent="0.25">
      <c r="A557" t="s">
        <v>47</v>
      </c>
      <c r="B557" t="s">
        <v>10</v>
      </c>
      <c r="C557">
        <v>111</v>
      </c>
      <c r="D557" s="3">
        <f>(100-Table1[[#This Row],[price_level_index]])/100</f>
        <v>-0.11</v>
      </c>
      <c r="E557" s="2">
        <v>24061</v>
      </c>
      <c r="F557" s="9">
        <f>Table1[[#This Row],[annual_net_earnings_raw]]+(Table1[[#This Row],[annual_net_earnings_raw]]*Table1[[#This Row],[price_level_index_mean_deviance]])</f>
        <v>21414.29</v>
      </c>
      <c r="G557" s="11">
        <f>IF(Table1[[#This Row],[date]]&lt;B556,"",(Table1[[#This Row],[european_earnings_index_raw]]-F556)/F556)</f>
        <v>0.10202251895448945</v>
      </c>
      <c r="H557" s="2">
        <f>_xlfn.IFNA(Table1[[#This Row],[annual_net_earnings_raw]], 0)</f>
        <v>24061</v>
      </c>
      <c r="I557" s="11"/>
    </row>
    <row r="558" spans="1:9" x14ac:dyDescent="0.25">
      <c r="A558" t="s">
        <v>47</v>
      </c>
      <c r="B558" t="s">
        <v>11</v>
      </c>
      <c r="C558">
        <v>127.1</v>
      </c>
      <c r="D558" s="3">
        <f>(100-Table1[[#This Row],[price_level_index]])/100</f>
        <v>-0.27099999999999996</v>
      </c>
      <c r="E558" s="2">
        <v>24318</v>
      </c>
      <c r="F558" s="9">
        <f>Table1[[#This Row],[annual_net_earnings_raw]]+(Table1[[#This Row],[annual_net_earnings_raw]]*Table1[[#This Row],[price_level_index_mean_deviance]])</f>
        <v>17727.822</v>
      </c>
      <c r="G558" s="11">
        <f>IF(Table1[[#This Row],[date]]&lt;B557,"",(Table1[[#This Row],[european_earnings_index_raw]]-F557)/F557)</f>
        <v>-0.17214990550702361</v>
      </c>
      <c r="H558" s="2">
        <f>_xlfn.IFNA(Table1[[#This Row],[annual_net_earnings_raw]], 0)</f>
        <v>24318</v>
      </c>
      <c r="I558" s="11"/>
    </row>
    <row r="559" spans="1:9" x14ac:dyDescent="0.25">
      <c r="A559" t="s">
        <v>47</v>
      </c>
      <c r="B559" t="s">
        <v>12</v>
      </c>
      <c r="C559">
        <v>134.30000000000001</v>
      </c>
      <c r="D559" s="3">
        <f>(100-Table1[[#This Row],[price_level_index]])/100</f>
        <v>-0.34300000000000014</v>
      </c>
      <c r="E559" s="2">
        <v>24806</v>
      </c>
      <c r="F559" s="9">
        <f>Table1[[#This Row],[annual_net_earnings_raw]]+(Table1[[#This Row],[annual_net_earnings_raw]]*Table1[[#This Row],[price_level_index_mean_deviance]])</f>
        <v>16297.541999999996</v>
      </c>
      <c r="G559" s="11">
        <f>IF(Table1[[#This Row],[date]]&lt;B558,"",(Table1[[#This Row],[european_earnings_index_raw]]-F558)/F558)</f>
        <v>-8.0679961700879238E-2</v>
      </c>
      <c r="H559" s="2">
        <f>_xlfn.IFNA(Table1[[#This Row],[annual_net_earnings_raw]], 0)</f>
        <v>24806</v>
      </c>
      <c r="I559" s="11"/>
    </row>
    <row r="560" spans="1:9" x14ac:dyDescent="0.25">
      <c r="A560" t="s">
        <v>47</v>
      </c>
      <c r="B560" t="s">
        <v>13</v>
      </c>
      <c r="C560">
        <v>138.69999999999999</v>
      </c>
      <c r="D560" s="3">
        <f>(100-Table1[[#This Row],[price_level_index]])/100</f>
        <v>-0.3869999999999999</v>
      </c>
      <c r="E560" s="2">
        <v>25747</v>
      </c>
      <c r="F560" s="9">
        <f>Table1[[#This Row],[annual_net_earnings_raw]]+(Table1[[#This Row],[annual_net_earnings_raw]]*Table1[[#This Row],[price_level_index_mean_deviance]])</f>
        <v>15782.911000000002</v>
      </c>
      <c r="G560" s="11">
        <f>IF(Table1[[#This Row],[date]]&lt;B559,"",(Table1[[#This Row],[european_earnings_index_raw]]-F559)/F559)</f>
        <v>-3.157721575437536E-2</v>
      </c>
      <c r="H560" s="2">
        <f>_xlfn.IFNA(Table1[[#This Row],[annual_net_earnings_raw]], 0)</f>
        <v>25747</v>
      </c>
      <c r="I560" s="11"/>
    </row>
    <row r="561" spans="1:9" x14ac:dyDescent="0.25">
      <c r="A561" t="s">
        <v>47</v>
      </c>
      <c r="B561" t="s">
        <v>14</v>
      </c>
      <c r="C561">
        <v>144.6</v>
      </c>
      <c r="D561" s="3">
        <f>(100-Table1[[#This Row],[price_level_index]])/100</f>
        <v>-0.44599999999999995</v>
      </c>
      <c r="E561" s="2">
        <v>25662</v>
      </c>
      <c r="F561" s="9">
        <f>Table1[[#This Row],[annual_net_earnings_raw]]+(Table1[[#This Row],[annual_net_earnings_raw]]*Table1[[#This Row],[price_level_index_mean_deviance]])</f>
        <v>14216.748000000001</v>
      </c>
      <c r="G561" s="11">
        <f>IF(Table1[[#This Row],[date]]&lt;B560,"",(Table1[[#This Row],[european_earnings_index_raw]]-F560)/F560)</f>
        <v>-9.9231567611323429E-2</v>
      </c>
      <c r="H561" s="2">
        <f>_xlfn.IFNA(Table1[[#This Row],[annual_net_earnings_raw]], 0)</f>
        <v>25662</v>
      </c>
      <c r="I561" s="11"/>
    </row>
    <row r="562" spans="1:9" x14ac:dyDescent="0.25">
      <c r="A562" t="s">
        <v>47</v>
      </c>
      <c r="B562" t="s">
        <v>15</v>
      </c>
      <c r="C562">
        <v>139.19999999999999</v>
      </c>
      <c r="D562" s="3">
        <f>(100-Table1[[#This Row],[price_level_index]])/100</f>
        <v>-0.3919999999999999</v>
      </c>
      <c r="E562" s="2">
        <v>26154</v>
      </c>
      <c r="F562" s="9">
        <f>Table1[[#This Row],[annual_net_earnings_raw]]+(Table1[[#This Row],[annual_net_earnings_raw]]*Table1[[#This Row],[price_level_index_mean_deviance]])</f>
        <v>15901.632000000003</v>
      </c>
      <c r="G562" s="11">
        <f>IF(Table1[[#This Row],[date]]&lt;B561,"",(Table1[[#This Row],[european_earnings_index_raw]]-F561)/F561)</f>
        <v>0.11851402303818016</v>
      </c>
      <c r="H562" s="2">
        <f>_xlfn.IFNA(Table1[[#This Row],[annual_net_earnings_raw]], 0)</f>
        <v>26154</v>
      </c>
      <c r="I562" s="11"/>
    </row>
    <row r="563" spans="1:9" x14ac:dyDescent="0.25">
      <c r="A563" t="s">
        <v>47</v>
      </c>
      <c r="B563" t="s">
        <v>16</v>
      </c>
      <c r="C563">
        <v>137</v>
      </c>
      <c r="D563" s="3">
        <f>(100-Table1[[#This Row],[price_level_index]])/100</f>
        <v>-0.37</v>
      </c>
      <c r="E563" s="2">
        <v>26125</v>
      </c>
      <c r="F563" s="9">
        <f>Table1[[#This Row],[annual_net_earnings_raw]]+(Table1[[#This Row],[annual_net_earnings_raw]]*Table1[[#This Row],[price_level_index_mean_deviance]])</f>
        <v>16458.75</v>
      </c>
      <c r="G563" s="11">
        <f>IF(Table1[[#This Row],[date]]&lt;B562,"",(Table1[[#This Row],[european_earnings_index_raw]]-F562)/F562)</f>
        <v>3.5035271851341837E-2</v>
      </c>
      <c r="H563" s="2">
        <f>_xlfn.IFNA(Table1[[#This Row],[annual_net_earnings_raw]], 0)</f>
        <v>26125</v>
      </c>
      <c r="I563" s="11"/>
    </row>
    <row r="564" spans="1:9" x14ac:dyDescent="0.25">
      <c r="A564" t="s">
        <v>47</v>
      </c>
      <c r="B564" t="s">
        <v>17</v>
      </c>
      <c r="C564">
        <v>140.5</v>
      </c>
      <c r="D564" s="3">
        <f>(100-Table1[[#This Row],[price_level_index]])/100</f>
        <v>-0.40500000000000003</v>
      </c>
      <c r="E564" s="2">
        <v>25791</v>
      </c>
      <c r="F564" s="9">
        <f>Table1[[#This Row],[annual_net_earnings_raw]]+(Table1[[#This Row],[annual_net_earnings_raw]]*Table1[[#This Row],[price_level_index_mean_deviance]])</f>
        <v>15345.644999999999</v>
      </c>
      <c r="G564" s="11">
        <f>IF(Table1[[#This Row],[date]]&lt;B563,"",(Table1[[#This Row],[european_earnings_index_raw]]-F563)/F563)</f>
        <v>-6.7629984051036762E-2</v>
      </c>
      <c r="H564" s="2">
        <f>_xlfn.IFNA(Table1[[#This Row],[annual_net_earnings_raw]], 0)</f>
        <v>25791</v>
      </c>
      <c r="I564" s="11"/>
    </row>
    <row r="565" spans="1:9" x14ac:dyDescent="0.25">
      <c r="A565" t="s">
        <v>47</v>
      </c>
      <c r="B565" t="s">
        <v>18</v>
      </c>
      <c r="C565">
        <v>140.1</v>
      </c>
      <c r="D565" s="3">
        <f>(100-Table1[[#This Row],[price_level_index]])/100</f>
        <v>-0.40099999999999997</v>
      </c>
      <c r="E565" s="2">
        <v>25844</v>
      </c>
      <c r="F565" s="9">
        <f>Table1[[#This Row],[annual_net_earnings_raw]]+(Table1[[#This Row],[annual_net_earnings_raw]]*Table1[[#This Row],[price_level_index_mean_deviance]])</f>
        <v>15480.556</v>
      </c>
      <c r="G565" s="11">
        <f>IF(Table1[[#This Row],[date]]&lt;B564,"",(Table1[[#This Row],[european_earnings_index_raw]]-F564)/F564)</f>
        <v>8.7914844895735488E-3</v>
      </c>
      <c r="H565" s="2">
        <f>_xlfn.IFNA(Table1[[#This Row],[annual_net_earnings_raw]], 0)</f>
        <v>25844</v>
      </c>
      <c r="I565" s="11"/>
    </row>
    <row r="566" spans="1:9" x14ac:dyDescent="0.25">
      <c r="A566" t="s">
        <v>47</v>
      </c>
      <c r="B566" t="s">
        <v>19</v>
      </c>
      <c r="C566">
        <v>133.9</v>
      </c>
      <c r="D566" s="3">
        <f>(100-Table1[[#This Row],[price_level_index]])/100</f>
        <v>-0.33900000000000008</v>
      </c>
      <c r="E566" s="2">
        <v>26124</v>
      </c>
      <c r="F566" s="9">
        <f>Table1[[#This Row],[annual_net_earnings_raw]]+(Table1[[#This Row],[annual_net_earnings_raw]]*Table1[[#This Row],[price_level_index_mean_deviance]])</f>
        <v>17267.964</v>
      </c>
      <c r="G566" s="11">
        <f>IF(Table1[[#This Row],[date]]&lt;B565,"",(Table1[[#This Row],[european_earnings_index_raw]]-F565)/F565)</f>
        <v>0.11546148600864203</v>
      </c>
      <c r="H566" s="2">
        <f>_xlfn.IFNA(Table1[[#This Row],[annual_net_earnings_raw]], 0)</f>
        <v>26124</v>
      </c>
      <c r="I566" s="11"/>
    </row>
    <row r="567" spans="1:9" x14ac:dyDescent="0.25">
      <c r="A567" t="s">
        <v>47</v>
      </c>
      <c r="B567" t="s">
        <v>20</v>
      </c>
      <c r="C567">
        <v>131.19999999999999</v>
      </c>
      <c r="D567" s="3">
        <f>(100-Table1[[#This Row],[price_level_index]])/100</f>
        <v>-0.31199999999999989</v>
      </c>
      <c r="E567" s="2">
        <v>26320</v>
      </c>
      <c r="F567" s="9">
        <f>Table1[[#This Row],[annual_net_earnings_raw]]+(Table1[[#This Row],[annual_net_earnings_raw]]*Table1[[#This Row],[price_level_index_mean_deviance]])</f>
        <v>18108.160000000003</v>
      </c>
      <c r="G567" s="11">
        <f>IF(Table1[[#This Row],[date]]&lt;B566,"",(Table1[[#This Row],[european_earnings_index_raw]]-F566)/F566)</f>
        <v>4.865634419900363E-2</v>
      </c>
      <c r="H567" s="2">
        <f>_xlfn.IFNA(Table1[[#This Row],[annual_net_earnings_raw]], 0)</f>
        <v>26320</v>
      </c>
      <c r="I567" s="11"/>
    </row>
    <row r="568" spans="1:9" x14ac:dyDescent="0.25">
      <c r="A568" t="s">
        <v>47</v>
      </c>
      <c r="B568" t="s">
        <v>21</v>
      </c>
      <c r="C568">
        <v>134.19999999999999</v>
      </c>
      <c r="D568" s="3">
        <f>(100-Table1[[#This Row],[price_level_index]])/100</f>
        <v>-0.34199999999999986</v>
      </c>
      <c r="E568" s="2">
        <v>26696</v>
      </c>
      <c r="F568" s="9">
        <f>Table1[[#This Row],[annual_net_earnings_raw]]+(Table1[[#This Row],[annual_net_earnings_raw]]*Table1[[#This Row],[price_level_index_mean_deviance]])</f>
        <v>17565.968000000004</v>
      </c>
      <c r="G568" s="11">
        <f>IF(Table1[[#This Row],[date]]&lt;B567,"",(Table1[[#This Row],[european_earnings_index_raw]]-F567)/F567)</f>
        <v>-2.9941860465116224E-2</v>
      </c>
      <c r="H568" s="2">
        <f>_xlfn.IFNA(Table1[[#This Row],[annual_net_earnings_raw]], 0)</f>
        <v>26696</v>
      </c>
      <c r="I568" s="11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65974-C155-4CC3-8659-1A759519BE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Sánchez Gómez</dc:creator>
  <cp:lastModifiedBy>K N</cp:lastModifiedBy>
  <dcterms:created xsi:type="dcterms:W3CDTF">2015-06-05T18:17:20Z</dcterms:created>
  <dcterms:modified xsi:type="dcterms:W3CDTF">2023-06-03T15:41:37Z</dcterms:modified>
</cp:coreProperties>
</file>